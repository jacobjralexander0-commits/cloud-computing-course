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9e1ca0df546b88/Desktop/Hara Pares Hub. Goto, Pares and Silog/"/>
    </mc:Choice>
  </mc:AlternateContent>
  <xr:revisionPtr revIDLastSave="834" documentId="6_{751177B6-7EAF-463C-A402-7F947E1F2DCC}" xr6:coauthVersionLast="47" xr6:coauthVersionMax="47" xr10:uidLastSave="{2C76E57B-4CD1-4C53-A3DF-C445565D051E}"/>
  <bookViews>
    <workbookView xWindow="-108" yWindow="-108" windowWidth="23256" windowHeight="12456" activeTab="1" xr2:uid="{FD361717-DD44-4221-A7E4-B1C5F2CDFE94}"/>
  </bookViews>
  <sheets>
    <sheet name="Formula 1" sheetId="1" r:id="rId1"/>
    <sheet name="Formula 2" sheetId="2" r:id="rId2"/>
    <sheet name="Panda Formula" sheetId="3" r:id="rId3"/>
    <sheet name="Sales Monitoring Repor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2" i="2" l="1"/>
  <c r="H43" i="2"/>
  <c r="H44" i="2"/>
  <c r="H46" i="2"/>
  <c r="H47" i="2"/>
  <c r="H48" i="2"/>
  <c r="H49" i="2"/>
  <c r="H51" i="2"/>
  <c r="H52" i="2"/>
  <c r="H53" i="2"/>
  <c r="H54" i="2"/>
  <c r="H55" i="2"/>
  <c r="H57" i="2"/>
  <c r="H58" i="2"/>
  <c r="H59" i="2"/>
  <c r="H60" i="2"/>
  <c r="H61" i="2"/>
  <c r="G42" i="2"/>
  <c r="G43" i="2"/>
  <c r="G44" i="2"/>
  <c r="G46" i="2"/>
  <c r="G47" i="2"/>
  <c r="G48" i="2"/>
  <c r="G49" i="2"/>
  <c r="G51" i="2"/>
  <c r="G52" i="2"/>
  <c r="G53" i="2"/>
  <c r="G54" i="2"/>
  <c r="G55" i="2"/>
  <c r="G57" i="2"/>
  <c r="G58" i="2"/>
  <c r="G59" i="2"/>
  <c r="G60" i="2"/>
  <c r="G61" i="2"/>
  <c r="F61" i="2"/>
  <c r="F60" i="2"/>
  <c r="D61" i="2"/>
  <c r="D60" i="2"/>
  <c r="H18" i="2"/>
  <c r="G6" i="2"/>
  <c r="H6" i="2" s="1"/>
  <c r="G13" i="2"/>
  <c r="H13" i="2" s="1"/>
  <c r="G15" i="2"/>
  <c r="H15" i="2" s="1"/>
  <c r="G16" i="2"/>
  <c r="H16" i="2" s="1"/>
  <c r="G18" i="2"/>
  <c r="G19" i="2"/>
  <c r="H19" i="2" s="1"/>
  <c r="G21" i="2"/>
  <c r="H21" i="2" s="1"/>
  <c r="G22" i="2"/>
  <c r="H22" i="2" s="1"/>
  <c r="G23" i="2"/>
  <c r="H23" i="2" s="1"/>
  <c r="G24" i="2"/>
  <c r="H24" i="2" s="1"/>
  <c r="G25" i="2"/>
  <c r="H25" i="2" s="1"/>
  <c r="F25" i="2"/>
  <c r="F24" i="2"/>
  <c r="D25" i="2"/>
  <c r="D24" i="2"/>
  <c r="G53" i="3"/>
  <c r="H53" i="3" s="1"/>
  <c r="F53" i="3"/>
  <c r="D53" i="3"/>
  <c r="G52" i="3"/>
  <c r="H52" i="3" s="1"/>
  <c r="F52" i="3"/>
  <c r="D52" i="3"/>
  <c r="G51" i="3"/>
  <c r="H51" i="3" s="1"/>
  <c r="F51" i="3"/>
  <c r="D51" i="3"/>
  <c r="G49" i="3"/>
  <c r="F49" i="3"/>
  <c r="D49" i="3"/>
  <c r="E48" i="3"/>
  <c r="G48" i="3" s="1"/>
  <c r="D48" i="3"/>
  <c r="E47" i="3"/>
  <c r="G47" i="3" s="1"/>
  <c r="H47" i="3" s="1"/>
  <c r="D47" i="3"/>
  <c r="E46" i="3"/>
  <c r="G46" i="3" s="1"/>
  <c r="H46" i="3" s="1"/>
  <c r="D46" i="3"/>
  <c r="G45" i="3"/>
  <c r="H45" i="3" s="1"/>
  <c r="E45" i="3"/>
  <c r="F45" i="3" s="1"/>
  <c r="D45" i="3"/>
  <c r="E43" i="3"/>
  <c r="G43" i="3" s="1"/>
  <c r="D43" i="3"/>
  <c r="E42" i="3"/>
  <c r="G42" i="3" s="1"/>
  <c r="H42" i="3" s="1"/>
  <c r="D42" i="3"/>
  <c r="G41" i="3"/>
  <c r="H41" i="3" s="1"/>
  <c r="F41" i="3"/>
  <c r="E41" i="3"/>
  <c r="D41" i="3"/>
  <c r="E40" i="3"/>
  <c r="G40" i="3" s="1"/>
  <c r="H40" i="3" s="1"/>
  <c r="D40" i="3"/>
  <c r="E38" i="3"/>
  <c r="G38" i="3" s="1"/>
  <c r="D38" i="3"/>
  <c r="E37" i="3"/>
  <c r="G37" i="3" s="1"/>
  <c r="H37" i="3" s="1"/>
  <c r="D37" i="3"/>
  <c r="E36" i="3"/>
  <c r="G36" i="3" s="1"/>
  <c r="H36" i="3" s="1"/>
  <c r="D36" i="3"/>
  <c r="G35" i="3"/>
  <c r="H35" i="3" s="1"/>
  <c r="F35" i="3"/>
  <c r="D35" i="3"/>
  <c r="H68" i="2"/>
  <c r="F59" i="2"/>
  <c r="D59" i="2"/>
  <c r="F58" i="2"/>
  <c r="D58" i="2"/>
  <c r="F57" i="2"/>
  <c r="D57" i="2"/>
  <c r="F55" i="2"/>
  <c r="D55" i="2"/>
  <c r="F54" i="2"/>
  <c r="D54" i="2"/>
  <c r="E53" i="2"/>
  <c r="D53" i="2"/>
  <c r="E52" i="2"/>
  <c r="D52" i="2"/>
  <c r="E51" i="2"/>
  <c r="D51" i="2"/>
  <c r="E49" i="2"/>
  <c r="F49" i="2" s="1"/>
  <c r="D49" i="2"/>
  <c r="E48" i="2"/>
  <c r="D48" i="2"/>
  <c r="E47" i="2"/>
  <c r="D47" i="2"/>
  <c r="E46" i="2"/>
  <c r="D46" i="2"/>
  <c r="E44" i="2"/>
  <c r="F44" i="2" s="1"/>
  <c r="D44" i="2"/>
  <c r="E43" i="2"/>
  <c r="D43" i="2"/>
  <c r="E42" i="2"/>
  <c r="F42" i="2" s="1"/>
  <c r="D42" i="2"/>
  <c r="G41" i="2"/>
  <c r="F41" i="2"/>
  <c r="D41" i="2"/>
  <c r="F5" i="3"/>
  <c r="F22" i="3"/>
  <c r="F23" i="3"/>
  <c r="F17" i="3"/>
  <c r="F18" i="3"/>
  <c r="F19" i="3"/>
  <c r="F13" i="3"/>
  <c r="D6" i="2"/>
  <c r="D7" i="2"/>
  <c r="D8" i="2"/>
  <c r="D10" i="2"/>
  <c r="D11" i="2"/>
  <c r="D12" i="2"/>
  <c r="D13" i="2"/>
  <c r="D15" i="2"/>
  <c r="D16" i="2"/>
  <c r="D17" i="2"/>
  <c r="D18" i="2"/>
  <c r="D19" i="2"/>
  <c r="D21" i="2"/>
  <c r="D22" i="2"/>
  <c r="D23" i="2"/>
  <c r="D5" i="2"/>
  <c r="G11" i="3"/>
  <c r="G13" i="3"/>
  <c r="H13" i="3" s="1"/>
  <c r="G18" i="3"/>
  <c r="G19" i="3"/>
  <c r="G21" i="3"/>
  <c r="H21" i="3" s="1"/>
  <c r="G22" i="3"/>
  <c r="H22" i="3" s="1"/>
  <c r="G23" i="3"/>
  <c r="H23" i="3" s="1"/>
  <c r="E18" i="3"/>
  <c r="D6" i="3"/>
  <c r="D7" i="3"/>
  <c r="D8" i="3"/>
  <c r="D10" i="3"/>
  <c r="D11" i="3"/>
  <c r="D12" i="3"/>
  <c r="D13" i="3"/>
  <c r="D15" i="3"/>
  <c r="D16" i="3"/>
  <c r="D17" i="3"/>
  <c r="D18" i="3"/>
  <c r="D19" i="3"/>
  <c r="D21" i="3"/>
  <c r="D22" i="3"/>
  <c r="D23" i="3"/>
  <c r="D5" i="3"/>
  <c r="F21" i="3"/>
  <c r="E17" i="3"/>
  <c r="E16" i="3"/>
  <c r="G16" i="3" s="1"/>
  <c r="E15" i="3"/>
  <c r="F15" i="3" s="1"/>
  <c r="E13" i="3"/>
  <c r="E12" i="3"/>
  <c r="F12" i="3" s="1"/>
  <c r="E11" i="3"/>
  <c r="F11" i="3" s="1"/>
  <c r="E10" i="3"/>
  <c r="G10" i="3" s="1"/>
  <c r="E8" i="3"/>
  <c r="G8" i="3" s="1"/>
  <c r="E7" i="3"/>
  <c r="F7" i="3" s="1"/>
  <c r="E6" i="3"/>
  <c r="G6" i="3" s="1"/>
  <c r="H6" i="3" s="1"/>
  <c r="G5" i="3"/>
  <c r="H5" i="3" s="1"/>
  <c r="F18" i="2"/>
  <c r="F19" i="2"/>
  <c r="F21" i="2"/>
  <c r="F22" i="2"/>
  <c r="F23" i="2"/>
  <c r="F5" i="2"/>
  <c r="G5" i="2"/>
  <c r="H5" i="2" s="1"/>
  <c r="E17" i="2"/>
  <c r="F17" i="2" s="1"/>
  <c r="E16" i="2"/>
  <c r="F16" i="2" s="1"/>
  <c r="E15" i="2"/>
  <c r="F15" i="2" s="1"/>
  <c r="E13" i="2"/>
  <c r="F13" i="2" s="1"/>
  <c r="E12" i="2"/>
  <c r="F12" i="2" s="1"/>
  <c r="E11" i="2"/>
  <c r="G11" i="2" s="1"/>
  <c r="E10" i="2"/>
  <c r="F10" i="2" s="1"/>
  <c r="E8" i="2"/>
  <c r="G8" i="2" s="1"/>
  <c r="E7" i="2"/>
  <c r="F7" i="2" s="1"/>
  <c r="E6" i="2"/>
  <c r="F6" i="2" s="1"/>
  <c r="E5" i="1"/>
  <c r="E6" i="1"/>
  <c r="E7" i="1"/>
  <c r="E9" i="1"/>
  <c r="E10" i="1"/>
  <c r="E11" i="1"/>
  <c r="E12" i="1"/>
  <c r="E14" i="1"/>
  <c r="E15" i="1"/>
  <c r="E16" i="1"/>
  <c r="E20" i="1"/>
  <c r="E21" i="1"/>
  <c r="E22" i="1"/>
  <c r="E4" i="1"/>
  <c r="D5" i="1"/>
  <c r="D6" i="1"/>
  <c r="D7" i="1"/>
  <c r="D9" i="1"/>
  <c r="D10" i="1"/>
  <c r="D11" i="1"/>
  <c r="D12" i="1"/>
  <c r="D14" i="1"/>
  <c r="D15" i="1"/>
  <c r="D16" i="1"/>
  <c r="D20" i="1"/>
  <c r="D21" i="1"/>
  <c r="D22" i="1"/>
  <c r="D4" i="1"/>
  <c r="C16" i="1"/>
  <c r="C15" i="1"/>
  <c r="C14" i="1"/>
  <c r="C12" i="1"/>
  <c r="C7" i="1"/>
  <c r="C10" i="1"/>
  <c r="C11" i="1"/>
  <c r="C9" i="1"/>
  <c r="C6" i="1"/>
  <c r="C5" i="1"/>
  <c r="G12" i="2" l="1"/>
  <c r="H12" i="2" s="1"/>
  <c r="G10" i="2"/>
  <c r="H10" i="2" s="1"/>
  <c r="F53" i="2"/>
  <c r="G17" i="2"/>
  <c r="H17" i="2" s="1"/>
  <c r="G7" i="2"/>
  <c r="H7" i="2" s="1"/>
  <c r="F46" i="2"/>
  <c r="F43" i="2"/>
  <c r="G55" i="3"/>
  <c r="F37" i="3"/>
  <c r="F47" i="3"/>
  <c r="F43" i="3"/>
  <c r="H43" i="3" s="1"/>
  <c r="F40" i="3"/>
  <c r="F36" i="3"/>
  <c r="F46" i="3"/>
  <c r="F42" i="3"/>
  <c r="F38" i="3"/>
  <c r="H38" i="3" s="1"/>
  <c r="F48" i="3"/>
  <c r="F16" i="3"/>
  <c r="G12" i="3"/>
  <c r="H12" i="3" s="1"/>
  <c r="H41" i="2"/>
  <c r="F52" i="2"/>
  <c r="F51" i="2"/>
  <c r="F47" i="2"/>
  <c r="F48" i="2"/>
  <c r="F8" i="2"/>
  <c r="H8" i="2" s="1"/>
  <c r="G17" i="3"/>
  <c r="G7" i="3"/>
  <c r="H7" i="3" s="1"/>
  <c r="H16" i="3"/>
  <c r="G15" i="3"/>
  <c r="H15" i="3" s="1"/>
  <c r="F11" i="2"/>
  <c r="H11" i="2" s="1"/>
  <c r="H10" i="3"/>
  <c r="H11" i="3"/>
  <c r="H17" i="3"/>
  <c r="F10" i="3"/>
  <c r="F6" i="3"/>
  <c r="F8" i="3"/>
  <c r="H8" i="3" s="1"/>
  <c r="F26" i="2" l="1"/>
  <c r="B28" i="2" s="1"/>
  <c r="F55" i="3"/>
  <c r="B57" i="3" s="1"/>
  <c r="B58" i="3" s="1"/>
  <c r="B59" i="3" s="1"/>
  <c r="F62" i="2"/>
  <c r="B64" i="2" s="1"/>
  <c r="G62" i="2"/>
  <c r="H62" i="2" s="1"/>
  <c r="G26" i="2"/>
  <c r="G25" i="3"/>
  <c r="F25" i="3"/>
  <c r="H26" i="2" l="1"/>
  <c r="B29" i="2"/>
  <c r="B32" i="2" s="1"/>
  <c r="B34" i="2" s="1"/>
  <c r="H55" i="3"/>
  <c r="B65" i="2"/>
  <c r="B68" i="2" s="1"/>
  <c r="B70" i="2" s="1"/>
  <c r="H25" i="3"/>
  <c r="B27" i="3"/>
  <c r="B28" i="3" s="1"/>
  <c r="B29" i="3" l="1"/>
</calcChain>
</file>

<file path=xl/sharedStrings.xml><?xml version="1.0" encoding="utf-8"?>
<sst xmlns="http://schemas.openxmlformats.org/spreadsheetml/2006/main" count="182" uniqueCount="49">
  <si>
    <t>Hara Pares Hub. Goto, Pares and Silog</t>
  </si>
  <si>
    <t>Product Name</t>
  </si>
  <si>
    <t>Price per item</t>
  </si>
  <si>
    <t>Capital</t>
  </si>
  <si>
    <t>Revenue</t>
  </si>
  <si>
    <t>Goto plain</t>
  </si>
  <si>
    <t>Goto with egg</t>
  </si>
  <si>
    <t>Goto laman egg</t>
  </si>
  <si>
    <t>Goto Overload</t>
  </si>
  <si>
    <t>Pares regular</t>
  </si>
  <si>
    <t>Pares rice</t>
  </si>
  <si>
    <t>Pares Mami with egg</t>
  </si>
  <si>
    <t>Pares Overload</t>
  </si>
  <si>
    <t>Tosilog</t>
  </si>
  <si>
    <t>Tapsilog</t>
  </si>
  <si>
    <t>Hotsilog</t>
  </si>
  <si>
    <t>Crispy lechon silog</t>
  </si>
  <si>
    <t>Paksiw silog</t>
  </si>
  <si>
    <t>Fried rice</t>
  </si>
  <si>
    <t>Egg</t>
  </si>
  <si>
    <t>Fried egg</t>
  </si>
  <si>
    <t>Add-on's</t>
  </si>
  <si>
    <t>Silog Meal</t>
  </si>
  <si>
    <t>Pares Meal</t>
  </si>
  <si>
    <t>Goto</t>
  </si>
  <si>
    <t>Percentage %</t>
  </si>
  <si>
    <t>Sales per product</t>
  </si>
  <si>
    <t>Total:</t>
  </si>
  <si>
    <t>Total Capital</t>
  </si>
  <si>
    <t>Capital per item</t>
  </si>
  <si>
    <t>Gross Sales:</t>
  </si>
  <si>
    <t>Net Profit:</t>
  </si>
  <si>
    <t>Expenses:</t>
  </si>
  <si>
    <t>Capital:</t>
  </si>
  <si>
    <t>Total Price</t>
  </si>
  <si>
    <t>DATE</t>
  </si>
  <si>
    <t>SALES</t>
  </si>
  <si>
    <t>08/13/2026</t>
  </si>
  <si>
    <t>8/14/2026</t>
  </si>
  <si>
    <t>8/15/2026</t>
  </si>
  <si>
    <t>Net Sales:</t>
  </si>
  <si>
    <t>From Panda</t>
  </si>
  <si>
    <t>Hara Pares Hub ( Daily Net Sales )</t>
  </si>
  <si>
    <t>Panda Sales:</t>
  </si>
  <si>
    <t>Total Sales of the Day:</t>
  </si>
  <si>
    <t>DATE:</t>
  </si>
  <si>
    <t xml:space="preserve">Softdrinks </t>
  </si>
  <si>
    <t>Miniral Water</t>
  </si>
  <si>
    <t>Softdrinks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</si>
</sst>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2" fontId="0" fillId="0" borderId="0" xfId="0" applyNumberFormat="1"/>
    <xf numFmtId="2" fontId="0" fillId="3" borderId="0" xfId="0" applyNumberFormat="1" applyFill="1"/>
    <xf numFmtId="9" fontId="0" fillId="0" borderId="0" xfId="2" applyFont="1"/>
    <xf numFmtId="9" fontId="0" fillId="3" borderId="0" xfId="2" applyFont="1" applyFill="1"/>
    <xf numFmtId="43" fontId="0" fillId="0" borderId="0" xfId="0" applyNumberFormat="1"/>
    <xf numFmtId="0" fontId="2" fillId="0" borderId="0" xfId="0" applyFont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0" borderId="1" xfId="0" applyFont="1" applyBorder="1"/>
    <xf numFmtId="2" fontId="5" fillId="0" borderId="1" xfId="0" applyNumberFormat="1" applyFont="1" applyBorder="1"/>
    <xf numFmtId="43" fontId="5" fillId="0" borderId="1" xfId="1" applyFont="1" applyBorder="1"/>
    <xf numFmtId="2" fontId="5" fillId="7" borderId="1" xfId="0" applyNumberFormat="1" applyFont="1" applyFill="1" applyBorder="1"/>
    <xf numFmtId="9" fontId="5" fillId="0" borderId="1" xfId="2" applyFont="1" applyBorder="1"/>
    <xf numFmtId="2" fontId="5" fillId="2" borderId="1" xfId="0" applyNumberFormat="1" applyFont="1" applyFill="1" applyBorder="1"/>
    <xf numFmtId="43" fontId="5" fillId="2" borderId="1" xfId="1" applyFont="1" applyFill="1" applyBorder="1"/>
    <xf numFmtId="9" fontId="5" fillId="2" borderId="1" xfId="2" applyFont="1" applyFill="1" applyBorder="1"/>
    <xf numFmtId="9" fontId="5" fillId="4" borderId="1" xfId="2" applyFont="1" applyFill="1" applyBorder="1"/>
    <xf numFmtId="0" fontId="6" fillId="0" borderId="0" xfId="0" applyFont="1"/>
    <xf numFmtId="0" fontId="5" fillId="2" borderId="0" xfId="0" applyFont="1" applyFill="1"/>
    <xf numFmtId="0" fontId="5" fillId="5" borderId="0" xfId="0" applyFont="1" applyFill="1"/>
    <xf numFmtId="0" fontId="5" fillId="6" borderId="0" xfId="0" applyFont="1" applyFill="1"/>
    <xf numFmtId="9" fontId="6" fillId="0" borderId="0" xfId="2" applyFont="1"/>
    <xf numFmtId="43" fontId="5" fillId="0" borderId="0" xfId="0" applyNumberFormat="1" applyFont="1"/>
    <xf numFmtId="43" fontId="5" fillId="0" borderId="0" xfId="2" applyNumberFormat="1" applyFont="1"/>
    <xf numFmtId="0" fontId="5" fillId="3" borderId="0" xfId="0" applyFont="1" applyFill="1"/>
    <xf numFmtId="0" fontId="5" fillId="0" borderId="0" xfId="0" applyFont="1"/>
    <xf numFmtId="2" fontId="5" fillId="0" borderId="0" xfId="0" applyNumberFormat="1" applyFont="1"/>
    <xf numFmtId="14" fontId="7" fillId="0" borderId="1" xfId="0" applyNumberFormat="1" applyFont="1" applyBorder="1" applyAlignment="1">
      <alignment horizontal="right"/>
    </xf>
    <xf numFmtId="0" fontId="4" fillId="2" borderId="1" xfId="0" applyFont="1" applyFill="1" applyBorder="1"/>
    <xf numFmtId="0" fontId="4" fillId="6" borderId="1" xfId="0" applyFont="1" applyFill="1" applyBorder="1"/>
    <xf numFmtId="0" fontId="7" fillId="0" borderId="1" xfId="0" applyFont="1" applyBorder="1" applyAlignment="1">
      <alignment horizontal="right"/>
    </xf>
    <xf numFmtId="43" fontId="5" fillId="7" borderId="1" xfId="1" applyFont="1" applyFill="1" applyBorder="1"/>
    <xf numFmtId="43" fontId="7" fillId="0" borderId="1" xfId="1" applyFont="1" applyBorder="1" applyAlignment="1">
      <alignment horizontal="right"/>
    </xf>
    <xf numFmtId="0" fontId="2" fillId="8" borderId="0" xfId="0" applyFont="1" applyFill="1"/>
    <xf numFmtId="0" fontId="0" fillId="6" borderId="0" xfId="0" applyFill="1"/>
    <xf numFmtId="43" fontId="2" fillId="0" borderId="0" xfId="0" applyNumberFormat="1" applyFont="1"/>
    <xf numFmtId="0" fontId="4" fillId="2" borderId="0" xfId="0" applyFont="1" applyFill="1"/>
    <xf numFmtId="14" fontId="4" fillId="0" borderId="0" xfId="0" applyNumberFormat="1" applyFont="1" applyAlignment="1">
      <alignment horizontal="left"/>
    </xf>
    <xf numFmtId="2" fontId="7" fillId="0" borderId="1" xfId="0" applyNumberFormat="1" applyFont="1" applyBorder="1" applyAlignment="1">
      <alignment horizontal="right"/>
    </xf>
    <xf numFmtId="0" fontId="5" fillId="7" borderId="1" xfId="0" applyFont="1" applyFill="1" applyBorder="1"/>
    <xf numFmtId="0" fontId="2" fillId="0" borderId="0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Monitoring Report'!$B$2</c:f>
              <c:strCache>
                <c:ptCount val="1"/>
                <c:pt idx="0">
                  <c:v>08/10/2026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Monitoring Report'!$A$3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Monitoring Report'!$B$3</c:f>
              <c:numCache>
                <c:formatCode>_(* #,##0.00_);_(* \(#,##0.00\);_(* "-"??_);_(@_)</c:formatCode>
                <c:ptCount val="1"/>
                <c:pt idx="0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0-48A0-8A33-E574690CDBD3}"/>
            </c:ext>
          </c:extLst>
        </c:ser>
        <c:ser>
          <c:idx val="1"/>
          <c:order val="1"/>
          <c:tx>
            <c:strRef>
              <c:f>'Sales Monitoring Report'!$C$2</c:f>
              <c:strCache>
                <c:ptCount val="1"/>
                <c:pt idx="0">
                  <c:v>08/11/2026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Monitoring Report'!$A$3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Monitoring Report'!$C$3</c:f>
              <c:numCache>
                <c:formatCode>_(* #,##0.00_);_(* \(#,##0.00\);_(* "-"??_);_(@_)</c:formatCode>
                <c:ptCount val="1"/>
                <c:pt idx="0">
                  <c:v>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0-48A0-8A33-E574690CDBD3}"/>
            </c:ext>
          </c:extLst>
        </c:ser>
        <c:ser>
          <c:idx val="2"/>
          <c:order val="2"/>
          <c:tx>
            <c:strRef>
              <c:f>'Sales Monitoring Report'!$D$2</c:f>
              <c:strCache>
                <c:ptCount val="1"/>
                <c:pt idx="0">
                  <c:v>08/12/2026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Monitoring Report'!$A$3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Monitoring Report'!$D$3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B0-48A0-8A33-E574690CDBD3}"/>
            </c:ext>
          </c:extLst>
        </c:ser>
        <c:ser>
          <c:idx val="3"/>
          <c:order val="3"/>
          <c:tx>
            <c:strRef>
              <c:f>'Sales Monitoring Report'!$E$2</c:f>
              <c:strCache>
                <c:ptCount val="1"/>
                <c:pt idx="0">
                  <c:v>08/13/2026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Monitoring Report'!$A$3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Monitoring Report'!$E$3</c:f>
              <c:numCache>
                <c:formatCode>_(* #,##0.00_);_(* \(#,##0.00\);_(* "-"??_);_(@_)</c:formatCode>
                <c:ptCount val="1"/>
                <c:pt idx="0">
                  <c:v>2224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B0-48A0-8A33-E574690CDBD3}"/>
            </c:ext>
          </c:extLst>
        </c:ser>
        <c:ser>
          <c:idx val="4"/>
          <c:order val="4"/>
          <c:tx>
            <c:strRef>
              <c:f>'Sales Monitoring Report'!$F$2</c:f>
              <c:strCache>
                <c:ptCount val="1"/>
                <c:pt idx="0">
                  <c:v>8/14/2026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'Sales Monitoring Report'!$A$3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Monitoring Report'!$F$3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B0-48A0-8A33-E574690CDBD3}"/>
            </c:ext>
          </c:extLst>
        </c:ser>
        <c:ser>
          <c:idx val="5"/>
          <c:order val="5"/>
          <c:tx>
            <c:strRef>
              <c:f>'Sales Monitoring Report'!$G$2</c:f>
              <c:strCache>
                <c:ptCount val="1"/>
                <c:pt idx="0">
                  <c:v>8/15/2026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Monitoring Report'!$A$3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Monitoring Report'!$G$3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DBB0-48A0-8A33-E574690CD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3944847"/>
        <c:axId val="863945263"/>
      </c:barChart>
      <c:catAx>
        <c:axId val="86394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945263"/>
        <c:crosses val="autoZero"/>
        <c:auto val="1"/>
        <c:lblAlgn val="ctr"/>
        <c:lblOffset val="100"/>
        <c:noMultiLvlLbl val="0"/>
      </c:catAx>
      <c:valAx>
        <c:axId val="86394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94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4</xdr:row>
      <xdr:rowOff>11430</xdr:rowOff>
    </xdr:from>
    <xdr:to>
      <xdr:col>7</xdr:col>
      <xdr:colOff>7620</xdr:colOff>
      <xdr:row>20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020064-3125-4DE6-BD1B-53408186B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E0D8-0FC3-4E91-A914-0DFBA1B98E38}">
  <dimension ref="A1:E22"/>
  <sheetViews>
    <sheetView zoomScaleNormal="100" workbookViewId="0">
      <selection sqref="A1:D1"/>
    </sheetView>
  </sheetViews>
  <sheetFormatPr defaultRowHeight="14.4" x14ac:dyDescent="0.3"/>
  <cols>
    <col min="1" max="1" width="21.77734375" customWidth="1"/>
    <col min="2" max="2" width="17.77734375" customWidth="1"/>
    <col min="3" max="3" width="15" customWidth="1"/>
    <col min="4" max="4" width="11.5546875" customWidth="1"/>
    <col min="5" max="5" width="15.77734375" customWidth="1"/>
  </cols>
  <sheetData>
    <row r="1" spans="1:5" x14ac:dyDescent="0.3">
      <c r="A1" s="46" t="s">
        <v>0</v>
      </c>
      <c r="B1" s="46"/>
      <c r="C1" s="46"/>
      <c r="D1" s="46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25</v>
      </c>
    </row>
    <row r="3" spans="1:5" x14ac:dyDescent="0.3">
      <c r="A3" s="2" t="s">
        <v>24</v>
      </c>
      <c r="B3" s="1"/>
      <c r="C3" s="1"/>
      <c r="D3" s="1"/>
    </row>
    <row r="4" spans="1:5" x14ac:dyDescent="0.3">
      <c r="A4" t="s">
        <v>5</v>
      </c>
      <c r="B4" s="4">
        <v>25</v>
      </c>
      <c r="C4" s="4">
        <v>3</v>
      </c>
      <c r="D4" s="4">
        <f>B4-C4</f>
        <v>22</v>
      </c>
      <c r="E4" s="6">
        <f>D4/C4</f>
        <v>7.333333333333333</v>
      </c>
    </row>
    <row r="5" spans="1:5" x14ac:dyDescent="0.3">
      <c r="A5" t="s">
        <v>6</v>
      </c>
      <c r="B5" s="4">
        <v>35</v>
      </c>
      <c r="C5" s="4">
        <f>3+7</f>
        <v>10</v>
      </c>
      <c r="D5" s="4">
        <f t="shared" ref="D5:D22" si="0">B5-C5</f>
        <v>25</v>
      </c>
      <c r="E5" s="6">
        <f t="shared" ref="E5:E22" si="1">D5/C5</f>
        <v>2.5</v>
      </c>
    </row>
    <row r="6" spans="1:5" x14ac:dyDescent="0.3">
      <c r="A6" t="s">
        <v>7</v>
      </c>
      <c r="B6" s="4">
        <v>60</v>
      </c>
      <c r="C6" s="4">
        <f>3+30+7</f>
        <v>40</v>
      </c>
      <c r="D6" s="4">
        <f t="shared" si="0"/>
        <v>20</v>
      </c>
      <c r="E6" s="6">
        <f t="shared" si="1"/>
        <v>0.5</v>
      </c>
    </row>
    <row r="7" spans="1:5" x14ac:dyDescent="0.3">
      <c r="A7" t="s">
        <v>8</v>
      </c>
      <c r="B7" s="4">
        <v>70</v>
      </c>
      <c r="C7" s="4">
        <f>3+7+7+30</f>
        <v>47</v>
      </c>
      <c r="D7" s="4">
        <f t="shared" si="0"/>
        <v>23</v>
      </c>
      <c r="E7" s="6">
        <f t="shared" si="1"/>
        <v>0.48936170212765956</v>
      </c>
    </row>
    <row r="8" spans="1:5" x14ac:dyDescent="0.3">
      <c r="A8" s="3" t="s">
        <v>23</v>
      </c>
      <c r="C8" s="4"/>
      <c r="D8" s="4"/>
      <c r="E8" s="6"/>
    </row>
    <row r="9" spans="1:5" x14ac:dyDescent="0.3">
      <c r="A9" t="s">
        <v>9</v>
      </c>
      <c r="B9" s="4">
        <v>50</v>
      </c>
      <c r="C9" s="4">
        <f>30+5</f>
        <v>35</v>
      </c>
      <c r="D9" s="4">
        <f t="shared" si="0"/>
        <v>15</v>
      </c>
      <c r="E9" s="6">
        <f t="shared" si="1"/>
        <v>0.42857142857142855</v>
      </c>
    </row>
    <row r="10" spans="1:5" x14ac:dyDescent="0.3">
      <c r="A10" t="s">
        <v>11</v>
      </c>
      <c r="B10" s="4">
        <v>65</v>
      </c>
      <c r="C10" s="4">
        <f>5+30+7+5</f>
        <v>47</v>
      </c>
      <c r="D10" s="4">
        <f t="shared" si="0"/>
        <v>18</v>
      </c>
      <c r="E10" s="6">
        <f t="shared" si="1"/>
        <v>0.38297872340425532</v>
      </c>
    </row>
    <row r="11" spans="1:5" x14ac:dyDescent="0.3">
      <c r="A11" t="s">
        <v>10</v>
      </c>
      <c r="B11" s="4">
        <v>65</v>
      </c>
      <c r="C11" s="4">
        <f>30+5+7</f>
        <v>42</v>
      </c>
      <c r="D11" s="4">
        <f t="shared" si="0"/>
        <v>23</v>
      </c>
      <c r="E11" s="6">
        <f t="shared" si="1"/>
        <v>0.54761904761904767</v>
      </c>
    </row>
    <row r="12" spans="1:5" x14ac:dyDescent="0.3">
      <c r="A12" t="s">
        <v>12</v>
      </c>
      <c r="B12" s="4">
        <v>100</v>
      </c>
      <c r="C12" s="4">
        <f>5+7+7+30+15</f>
        <v>64</v>
      </c>
      <c r="D12" s="4">
        <f t="shared" si="0"/>
        <v>36</v>
      </c>
      <c r="E12" s="6">
        <f t="shared" si="1"/>
        <v>0.5625</v>
      </c>
    </row>
    <row r="13" spans="1:5" x14ac:dyDescent="0.3">
      <c r="A13" s="3" t="s">
        <v>22</v>
      </c>
      <c r="C13" s="4"/>
      <c r="D13" s="4"/>
      <c r="E13" s="6"/>
    </row>
    <row r="14" spans="1:5" x14ac:dyDescent="0.3">
      <c r="A14" t="s">
        <v>13</v>
      </c>
      <c r="B14" s="4">
        <v>70</v>
      </c>
      <c r="C14" s="4">
        <f>7+7+30</f>
        <v>44</v>
      </c>
      <c r="D14" s="4">
        <f t="shared" si="0"/>
        <v>26</v>
      </c>
      <c r="E14" s="6">
        <f t="shared" si="1"/>
        <v>0.59090909090909094</v>
      </c>
    </row>
    <row r="15" spans="1:5" x14ac:dyDescent="0.3">
      <c r="A15" t="s">
        <v>14</v>
      </c>
      <c r="B15" s="4">
        <v>70</v>
      </c>
      <c r="C15" s="4">
        <f>7+7+30</f>
        <v>44</v>
      </c>
      <c r="D15" s="4">
        <f t="shared" si="0"/>
        <v>26</v>
      </c>
      <c r="E15" s="6">
        <f t="shared" si="1"/>
        <v>0.59090909090909094</v>
      </c>
    </row>
    <row r="16" spans="1:5" x14ac:dyDescent="0.3">
      <c r="A16" t="s">
        <v>15</v>
      </c>
      <c r="B16" s="4">
        <v>70</v>
      </c>
      <c r="C16" s="4">
        <f>7+7+20</f>
        <v>34</v>
      </c>
      <c r="D16" s="4">
        <f t="shared" si="0"/>
        <v>36</v>
      </c>
      <c r="E16" s="6">
        <f t="shared" si="1"/>
        <v>1.0588235294117647</v>
      </c>
    </row>
    <row r="17" spans="1:5" x14ac:dyDescent="0.3">
      <c r="A17" t="s">
        <v>16</v>
      </c>
      <c r="B17" s="4">
        <v>120</v>
      </c>
      <c r="C17" s="5"/>
      <c r="D17" s="5"/>
      <c r="E17" s="7"/>
    </row>
    <row r="18" spans="1:5" x14ac:dyDescent="0.3">
      <c r="A18" t="s">
        <v>17</v>
      </c>
      <c r="B18" s="4">
        <v>120</v>
      </c>
      <c r="C18" s="5"/>
      <c r="D18" s="5"/>
      <c r="E18" s="7"/>
    </row>
    <row r="19" spans="1:5" x14ac:dyDescent="0.3">
      <c r="A19" s="3" t="s">
        <v>21</v>
      </c>
      <c r="C19" s="4"/>
      <c r="D19" s="4"/>
      <c r="E19" s="6"/>
    </row>
    <row r="20" spans="1:5" x14ac:dyDescent="0.3">
      <c r="A20" t="s">
        <v>18</v>
      </c>
      <c r="B20" s="4">
        <v>15</v>
      </c>
      <c r="C20" s="4">
        <v>7</v>
      </c>
      <c r="D20" s="4">
        <f t="shared" si="0"/>
        <v>8</v>
      </c>
      <c r="E20" s="6">
        <f t="shared" si="1"/>
        <v>1.1428571428571428</v>
      </c>
    </row>
    <row r="21" spans="1:5" x14ac:dyDescent="0.3">
      <c r="A21" t="s">
        <v>19</v>
      </c>
      <c r="B21" s="4">
        <v>15</v>
      </c>
      <c r="C21" s="4">
        <v>7</v>
      </c>
      <c r="D21" s="4">
        <f t="shared" si="0"/>
        <v>8</v>
      </c>
      <c r="E21" s="6">
        <f t="shared" si="1"/>
        <v>1.1428571428571428</v>
      </c>
    </row>
    <row r="22" spans="1:5" x14ac:dyDescent="0.3">
      <c r="A22" t="s">
        <v>20</v>
      </c>
      <c r="B22" s="4">
        <v>15</v>
      </c>
      <c r="C22" s="4">
        <v>7</v>
      </c>
      <c r="D22" s="4">
        <f t="shared" si="0"/>
        <v>8</v>
      </c>
      <c r="E22" s="6">
        <f t="shared" si="1"/>
        <v>1.1428571428571428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1DFA-2184-4627-95BD-6FBB98C40383}">
  <dimension ref="A1:K70"/>
  <sheetViews>
    <sheetView tabSelected="1" topLeftCell="A36" zoomScale="90" zoomScaleNormal="90" workbookViewId="0">
      <selection activeCell="C41" sqref="C41"/>
    </sheetView>
  </sheetViews>
  <sheetFormatPr defaultRowHeight="14.4" x14ac:dyDescent="0.3"/>
  <cols>
    <col min="1" max="1" width="22.109375" customWidth="1"/>
    <col min="2" max="2" width="20.5546875" customWidth="1"/>
    <col min="3" max="3" width="17.21875" customWidth="1"/>
    <col min="4" max="4" width="15.44140625" customWidth="1"/>
    <col min="5" max="5" width="17.88671875" customWidth="1"/>
    <col min="6" max="6" width="16.109375" customWidth="1"/>
    <col min="7" max="7" width="15.88671875" customWidth="1"/>
    <col min="8" max="8" width="17.44140625" customWidth="1"/>
  </cols>
  <sheetData>
    <row r="1" spans="1:8" ht="18" x14ac:dyDescent="0.35">
      <c r="A1" s="42" t="s">
        <v>45</v>
      </c>
      <c r="B1" s="43">
        <v>46334</v>
      </c>
    </row>
    <row r="2" spans="1:8" ht="25.8" x14ac:dyDescent="0.5">
      <c r="A2" s="47" t="s">
        <v>0</v>
      </c>
      <c r="B2" s="47"/>
      <c r="C2" s="47"/>
      <c r="D2" s="47"/>
      <c r="E2" s="47"/>
      <c r="F2" s="47"/>
      <c r="G2" s="47"/>
      <c r="H2" s="47"/>
    </row>
    <row r="3" spans="1:8" ht="18" x14ac:dyDescent="0.35">
      <c r="A3" s="10" t="s">
        <v>1</v>
      </c>
      <c r="B3" s="10" t="s">
        <v>26</v>
      </c>
      <c r="C3" s="10" t="s">
        <v>2</v>
      </c>
      <c r="D3" s="10" t="s">
        <v>34</v>
      </c>
      <c r="E3" s="10" t="s">
        <v>29</v>
      </c>
      <c r="F3" s="10" t="s">
        <v>28</v>
      </c>
      <c r="G3" s="10" t="s">
        <v>4</v>
      </c>
      <c r="H3" s="10" t="s">
        <v>25</v>
      </c>
    </row>
    <row r="4" spans="1:8" ht="15.6" x14ac:dyDescent="0.3">
      <c r="A4" s="11" t="s">
        <v>24</v>
      </c>
      <c r="B4" s="11"/>
      <c r="C4" s="12"/>
      <c r="D4" s="12"/>
      <c r="E4" s="12"/>
      <c r="F4" s="12"/>
      <c r="G4" s="12"/>
      <c r="H4" s="13"/>
    </row>
    <row r="5" spans="1:8" ht="15.6" x14ac:dyDescent="0.3">
      <c r="A5" s="14" t="s">
        <v>5</v>
      </c>
      <c r="B5" s="15">
        <v>4</v>
      </c>
      <c r="C5" s="15">
        <v>25</v>
      </c>
      <c r="D5" s="15">
        <f>C5*B5</f>
        <v>100</v>
      </c>
      <c r="E5" s="17">
        <v>3</v>
      </c>
      <c r="F5" s="17">
        <f>E5*B5</f>
        <v>12</v>
      </c>
      <c r="G5" s="15">
        <f>(C5-E5)*B5</f>
        <v>88</v>
      </c>
      <c r="H5" s="18">
        <f>G5/F5</f>
        <v>7.333333333333333</v>
      </c>
    </row>
    <row r="6" spans="1:8" ht="15.6" x14ac:dyDescent="0.3">
      <c r="A6" s="14" t="s">
        <v>6</v>
      </c>
      <c r="B6" s="15">
        <v>13</v>
      </c>
      <c r="C6" s="15">
        <v>35</v>
      </c>
      <c r="D6" s="15">
        <f t="shared" ref="D6:D25" si="0">C6*B6</f>
        <v>455</v>
      </c>
      <c r="E6" s="17">
        <f>3+7</f>
        <v>10</v>
      </c>
      <c r="F6" s="17">
        <f t="shared" ref="F6:F25" si="1">E6*B6</f>
        <v>130</v>
      </c>
      <c r="G6" s="15">
        <f t="shared" ref="G6:G25" si="2">(C6-E6)*B6</f>
        <v>325</v>
      </c>
      <c r="H6" s="18">
        <f t="shared" ref="H6:H26" si="3">G6/F6</f>
        <v>2.5</v>
      </c>
    </row>
    <row r="7" spans="1:8" ht="15.6" x14ac:dyDescent="0.3">
      <c r="A7" s="14" t="s">
        <v>7</v>
      </c>
      <c r="B7" s="15">
        <v>1</v>
      </c>
      <c r="C7" s="15">
        <v>60</v>
      </c>
      <c r="D7" s="15">
        <f t="shared" si="0"/>
        <v>60</v>
      </c>
      <c r="E7" s="17">
        <f>3+30+7</f>
        <v>40</v>
      </c>
      <c r="F7" s="17">
        <f t="shared" si="1"/>
        <v>40</v>
      </c>
      <c r="G7" s="15">
        <f t="shared" si="2"/>
        <v>20</v>
      </c>
      <c r="H7" s="18">
        <f t="shared" si="3"/>
        <v>0.5</v>
      </c>
    </row>
    <row r="8" spans="1:8" ht="15.6" x14ac:dyDescent="0.3">
      <c r="A8" s="14" t="s">
        <v>8</v>
      </c>
      <c r="B8" s="15">
        <v>1</v>
      </c>
      <c r="C8" s="15">
        <v>70</v>
      </c>
      <c r="D8" s="15">
        <f t="shared" si="0"/>
        <v>70</v>
      </c>
      <c r="E8" s="17">
        <f>3+7+7+30</f>
        <v>47</v>
      </c>
      <c r="F8" s="17">
        <f t="shared" si="1"/>
        <v>47</v>
      </c>
      <c r="G8" s="15">
        <f t="shared" si="2"/>
        <v>23</v>
      </c>
      <c r="H8" s="18">
        <f t="shared" si="3"/>
        <v>0.48936170212765956</v>
      </c>
    </row>
    <row r="9" spans="1:8" ht="15.6" x14ac:dyDescent="0.3">
      <c r="A9" s="13" t="s">
        <v>23</v>
      </c>
      <c r="B9" s="19"/>
      <c r="C9" s="13"/>
      <c r="D9" s="19"/>
      <c r="E9" s="19"/>
      <c r="F9" s="19"/>
      <c r="G9" s="19"/>
      <c r="H9" s="21"/>
    </row>
    <row r="10" spans="1:8" ht="15.6" x14ac:dyDescent="0.3">
      <c r="A10" s="14" t="s">
        <v>9</v>
      </c>
      <c r="B10" s="15">
        <v>7</v>
      </c>
      <c r="C10" s="15">
        <v>50</v>
      </c>
      <c r="D10" s="15">
        <f t="shared" si="0"/>
        <v>350</v>
      </c>
      <c r="E10" s="17">
        <f>30+5</f>
        <v>35</v>
      </c>
      <c r="F10" s="17">
        <f t="shared" si="1"/>
        <v>245</v>
      </c>
      <c r="G10" s="15">
        <f t="shared" si="2"/>
        <v>105</v>
      </c>
      <c r="H10" s="18">
        <f t="shared" si="3"/>
        <v>0.42857142857142855</v>
      </c>
    </row>
    <row r="11" spans="1:8" ht="15.6" x14ac:dyDescent="0.3">
      <c r="A11" s="14" t="s">
        <v>11</v>
      </c>
      <c r="B11" s="15"/>
      <c r="C11" s="15">
        <v>65</v>
      </c>
      <c r="D11" s="15">
        <f t="shared" si="0"/>
        <v>0</v>
      </c>
      <c r="E11" s="17">
        <f>5+30+7+5</f>
        <v>47</v>
      </c>
      <c r="F11" s="17">
        <f t="shared" si="1"/>
        <v>0</v>
      </c>
      <c r="G11" s="15">
        <f t="shared" si="2"/>
        <v>0</v>
      </c>
      <c r="H11" s="18" t="e">
        <f t="shared" si="3"/>
        <v>#DIV/0!</v>
      </c>
    </row>
    <row r="12" spans="1:8" ht="15.6" x14ac:dyDescent="0.3">
      <c r="A12" s="14" t="s">
        <v>10</v>
      </c>
      <c r="B12" s="15">
        <v>22</v>
      </c>
      <c r="C12" s="15">
        <v>65</v>
      </c>
      <c r="D12" s="15">
        <f t="shared" si="0"/>
        <v>1430</v>
      </c>
      <c r="E12" s="17">
        <f>30+5+7</f>
        <v>42</v>
      </c>
      <c r="F12" s="17">
        <f t="shared" si="1"/>
        <v>924</v>
      </c>
      <c r="G12" s="15">
        <f t="shared" si="2"/>
        <v>506</v>
      </c>
      <c r="H12" s="18">
        <f t="shared" si="3"/>
        <v>0.54761904761904767</v>
      </c>
    </row>
    <row r="13" spans="1:8" ht="15.6" x14ac:dyDescent="0.3">
      <c r="A13" s="14" t="s">
        <v>12</v>
      </c>
      <c r="B13" s="15">
        <v>4</v>
      </c>
      <c r="C13" s="15">
        <v>100</v>
      </c>
      <c r="D13" s="15">
        <f t="shared" si="0"/>
        <v>400</v>
      </c>
      <c r="E13" s="17">
        <f>5+7+7+30+15</f>
        <v>64</v>
      </c>
      <c r="F13" s="17">
        <f t="shared" si="1"/>
        <v>256</v>
      </c>
      <c r="G13" s="15">
        <f t="shared" si="2"/>
        <v>144</v>
      </c>
      <c r="H13" s="18">
        <f t="shared" si="3"/>
        <v>0.5625</v>
      </c>
    </row>
    <row r="14" spans="1:8" ht="15.6" x14ac:dyDescent="0.3">
      <c r="A14" s="13" t="s">
        <v>22</v>
      </c>
      <c r="B14" s="19"/>
      <c r="C14" s="13"/>
      <c r="D14" s="19"/>
      <c r="E14" s="19"/>
      <c r="F14" s="19"/>
      <c r="G14" s="19"/>
      <c r="H14" s="21"/>
    </row>
    <row r="15" spans="1:8" ht="15.6" x14ac:dyDescent="0.3">
      <c r="A15" s="14" t="s">
        <v>13</v>
      </c>
      <c r="B15" s="15"/>
      <c r="C15" s="15">
        <v>70</v>
      </c>
      <c r="D15" s="15">
        <f t="shared" si="0"/>
        <v>0</v>
      </c>
      <c r="E15" s="17">
        <f>7+7+30</f>
        <v>44</v>
      </c>
      <c r="F15" s="17">
        <f t="shared" si="1"/>
        <v>0</v>
      </c>
      <c r="G15" s="15">
        <f t="shared" si="2"/>
        <v>0</v>
      </c>
      <c r="H15" s="18" t="e">
        <f t="shared" si="3"/>
        <v>#DIV/0!</v>
      </c>
    </row>
    <row r="16" spans="1:8" ht="15.6" x14ac:dyDescent="0.3">
      <c r="A16" s="14" t="s">
        <v>14</v>
      </c>
      <c r="B16" s="15"/>
      <c r="C16" s="15">
        <v>70</v>
      </c>
      <c r="D16" s="15">
        <f t="shared" si="0"/>
        <v>0</v>
      </c>
      <c r="E16" s="17">
        <f>7+7+30</f>
        <v>44</v>
      </c>
      <c r="F16" s="17">
        <f t="shared" si="1"/>
        <v>0</v>
      </c>
      <c r="G16" s="15">
        <f t="shared" si="2"/>
        <v>0</v>
      </c>
      <c r="H16" s="18" t="e">
        <f t="shared" si="3"/>
        <v>#DIV/0!</v>
      </c>
    </row>
    <row r="17" spans="1:11" ht="15.6" x14ac:dyDescent="0.3">
      <c r="A17" s="14" t="s">
        <v>15</v>
      </c>
      <c r="B17" s="15">
        <v>2</v>
      </c>
      <c r="C17" s="15">
        <v>70</v>
      </c>
      <c r="D17" s="15">
        <f t="shared" si="0"/>
        <v>140</v>
      </c>
      <c r="E17" s="17">
        <f>7+7+20</f>
        <v>34</v>
      </c>
      <c r="F17" s="17">
        <f t="shared" si="1"/>
        <v>68</v>
      </c>
      <c r="G17" s="15">
        <f t="shared" si="2"/>
        <v>72</v>
      </c>
      <c r="H17" s="18">
        <f t="shared" si="3"/>
        <v>1.0588235294117647</v>
      </c>
    </row>
    <row r="18" spans="1:11" ht="15.6" x14ac:dyDescent="0.3">
      <c r="A18" s="14" t="s">
        <v>16</v>
      </c>
      <c r="B18" s="15"/>
      <c r="C18" s="15">
        <v>120</v>
      </c>
      <c r="D18" s="15">
        <f t="shared" si="0"/>
        <v>0</v>
      </c>
      <c r="E18" s="17"/>
      <c r="F18" s="17">
        <f t="shared" si="1"/>
        <v>0</v>
      </c>
      <c r="G18" s="15">
        <f t="shared" si="2"/>
        <v>0</v>
      </c>
      <c r="H18" s="18" t="e">
        <f t="shared" si="3"/>
        <v>#DIV/0!</v>
      </c>
    </row>
    <row r="19" spans="1:11" ht="15.6" x14ac:dyDescent="0.3">
      <c r="A19" s="14" t="s">
        <v>17</v>
      </c>
      <c r="B19" s="15"/>
      <c r="C19" s="15">
        <v>120</v>
      </c>
      <c r="D19" s="15">
        <f t="shared" si="0"/>
        <v>0</v>
      </c>
      <c r="E19" s="17"/>
      <c r="F19" s="17">
        <f t="shared" si="1"/>
        <v>0</v>
      </c>
      <c r="G19" s="15">
        <f t="shared" si="2"/>
        <v>0</v>
      </c>
      <c r="H19" s="18" t="e">
        <f t="shared" si="3"/>
        <v>#DIV/0!</v>
      </c>
    </row>
    <row r="20" spans="1:11" ht="15.6" x14ac:dyDescent="0.3">
      <c r="A20" s="13" t="s">
        <v>21</v>
      </c>
      <c r="B20" s="19"/>
      <c r="C20" s="13"/>
      <c r="D20" s="19"/>
      <c r="E20" s="19"/>
      <c r="F20" s="19"/>
      <c r="G20" s="19"/>
      <c r="H20" s="21"/>
    </row>
    <row r="21" spans="1:11" ht="15.6" x14ac:dyDescent="0.3">
      <c r="A21" s="14" t="s">
        <v>18</v>
      </c>
      <c r="B21" s="15">
        <v>5</v>
      </c>
      <c r="C21" s="15">
        <v>15</v>
      </c>
      <c r="D21" s="15">
        <f t="shared" si="0"/>
        <v>75</v>
      </c>
      <c r="E21" s="17">
        <v>7</v>
      </c>
      <c r="F21" s="17">
        <f t="shared" si="1"/>
        <v>35</v>
      </c>
      <c r="G21" s="15">
        <f t="shared" si="2"/>
        <v>40</v>
      </c>
      <c r="H21" s="18">
        <f t="shared" si="3"/>
        <v>1.1428571428571428</v>
      </c>
    </row>
    <row r="22" spans="1:11" ht="15.6" x14ac:dyDescent="0.3">
      <c r="A22" s="14" t="s">
        <v>19</v>
      </c>
      <c r="B22" s="15">
        <v>8</v>
      </c>
      <c r="C22" s="15">
        <v>15</v>
      </c>
      <c r="D22" s="15">
        <f t="shared" si="0"/>
        <v>120</v>
      </c>
      <c r="E22" s="17">
        <v>7</v>
      </c>
      <c r="F22" s="17">
        <f t="shared" si="1"/>
        <v>56</v>
      </c>
      <c r="G22" s="15">
        <f t="shared" si="2"/>
        <v>64</v>
      </c>
      <c r="H22" s="18">
        <f t="shared" si="3"/>
        <v>1.1428571428571428</v>
      </c>
    </row>
    <row r="23" spans="1:11" ht="15.6" x14ac:dyDescent="0.3">
      <c r="A23" s="14" t="s">
        <v>20</v>
      </c>
      <c r="B23" s="15"/>
      <c r="C23" s="15">
        <v>15</v>
      </c>
      <c r="D23" s="15">
        <f t="shared" si="0"/>
        <v>0</v>
      </c>
      <c r="E23" s="17">
        <v>7</v>
      </c>
      <c r="F23" s="17">
        <f t="shared" si="1"/>
        <v>0</v>
      </c>
      <c r="G23" s="15">
        <f t="shared" si="2"/>
        <v>0</v>
      </c>
      <c r="H23" s="18" t="e">
        <f t="shared" si="3"/>
        <v>#DIV/0!</v>
      </c>
    </row>
    <row r="24" spans="1:11" ht="15.6" x14ac:dyDescent="0.3">
      <c r="A24" s="14" t="s">
        <v>46</v>
      </c>
      <c r="B24" s="14"/>
      <c r="C24" s="14">
        <v>25</v>
      </c>
      <c r="D24" s="14">
        <f t="shared" si="0"/>
        <v>0</v>
      </c>
      <c r="E24" s="45">
        <v>15</v>
      </c>
      <c r="F24" s="45">
        <f t="shared" si="1"/>
        <v>0</v>
      </c>
      <c r="G24" s="15">
        <f t="shared" si="2"/>
        <v>0</v>
      </c>
      <c r="H24" s="18" t="e">
        <f>G24/F24</f>
        <v>#DIV/0!</v>
      </c>
    </row>
    <row r="25" spans="1:11" ht="15.6" x14ac:dyDescent="0.3">
      <c r="A25" s="14" t="s">
        <v>47</v>
      </c>
      <c r="B25" s="14"/>
      <c r="C25" s="14">
        <v>20</v>
      </c>
      <c r="D25" s="14">
        <f t="shared" si="0"/>
        <v>0</v>
      </c>
      <c r="E25" s="45">
        <v>8.4</v>
      </c>
      <c r="F25" s="45">
        <f t="shared" si="1"/>
        <v>0</v>
      </c>
      <c r="G25" s="15">
        <f t="shared" si="2"/>
        <v>0</v>
      </c>
      <c r="H25" s="18" t="e">
        <f t="shared" si="3"/>
        <v>#DIV/0!</v>
      </c>
    </row>
    <row r="26" spans="1:11" ht="15.6" x14ac:dyDescent="0.3">
      <c r="A26" s="14" t="s">
        <v>27</v>
      </c>
      <c r="B26" s="14"/>
      <c r="C26" s="14"/>
      <c r="D26" s="14"/>
      <c r="E26" s="15"/>
      <c r="F26" s="16">
        <f>SUM(F5:F25)</f>
        <v>1813</v>
      </c>
      <c r="G26" s="16">
        <f>SUM(G5:G24)</f>
        <v>1387</v>
      </c>
      <c r="H26" s="18">
        <f t="shared" si="3"/>
        <v>0.76503033645890783</v>
      </c>
      <c r="K26" s="8"/>
    </row>
    <row r="27" spans="1:11" ht="15.6" x14ac:dyDescent="0.3">
      <c r="A27" s="23"/>
      <c r="B27" s="23"/>
      <c r="C27" s="23"/>
      <c r="D27" s="23"/>
      <c r="E27" s="23"/>
      <c r="F27" s="23"/>
      <c r="G27" s="23"/>
      <c r="H27" s="23"/>
    </row>
    <row r="28" spans="1:11" ht="15.6" x14ac:dyDescent="0.3">
      <c r="A28" s="24" t="s">
        <v>3</v>
      </c>
      <c r="B28" s="28">
        <f>F26</f>
        <v>1813</v>
      </c>
      <c r="C28" s="23"/>
      <c r="D28" s="23"/>
      <c r="E28" s="23"/>
      <c r="F28" s="23"/>
      <c r="G28" s="23"/>
      <c r="H28" s="23"/>
    </row>
    <row r="29" spans="1:11" ht="15.6" x14ac:dyDescent="0.3">
      <c r="A29" s="25" t="s">
        <v>30</v>
      </c>
      <c r="B29" s="28">
        <f>B28+G26</f>
        <v>3200</v>
      </c>
      <c r="C29" s="23"/>
      <c r="D29" s="23"/>
      <c r="E29" s="23"/>
      <c r="F29" s="23"/>
      <c r="G29" s="23"/>
      <c r="H29" s="23"/>
    </row>
    <row r="30" spans="1:11" ht="15.6" x14ac:dyDescent="0.3">
      <c r="A30" s="30" t="s">
        <v>32</v>
      </c>
      <c r="B30" s="32"/>
      <c r="C30" s="23" t="s">
        <v>41</v>
      </c>
      <c r="D30" s="23"/>
      <c r="E30" s="23"/>
      <c r="F30" s="23"/>
      <c r="G30" s="23"/>
      <c r="H30" s="23"/>
    </row>
    <row r="31" spans="1:11" ht="15.6" x14ac:dyDescent="0.3">
      <c r="A31" s="31"/>
      <c r="B31" s="31"/>
      <c r="C31" s="23"/>
      <c r="D31" s="23"/>
      <c r="E31" s="23"/>
      <c r="F31" s="23"/>
      <c r="G31" s="23"/>
      <c r="H31" s="23"/>
    </row>
    <row r="32" spans="1:11" ht="15.6" x14ac:dyDescent="0.3">
      <c r="A32" s="24" t="s">
        <v>31</v>
      </c>
      <c r="B32" s="28">
        <f>B29-B28-B30</f>
        <v>1387</v>
      </c>
      <c r="C32" s="23"/>
      <c r="D32" s="23"/>
      <c r="E32" s="23"/>
      <c r="F32" s="23"/>
      <c r="G32" s="23"/>
      <c r="H32" s="23"/>
    </row>
    <row r="33" spans="1:8" ht="15.6" x14ac:dyDescent="0.3">
      <c r="A33" s="39" t="s">
        <v>43</v>
      </c>
      <c r="B33" s="28"/>
    </row>
    <row r="34" spans="1:8" x14ac:dyDescent="0.3">
      <c r="A34" s="40" t="s">
        <v>44</v>
      </c>
      <c r="B34" s="41">
        <f>SUM(B32:B33)</f>
        <v>1387</v>
      </c>
      <c r="D34" s="8"/>
    </row>
    <row r="36" spans="1:8" x14ac:dyDescent="0.3">
      <c r="D36" s="8"/>
    </row>
    <row r="37" spans="1:8" ht="18" x14ac:dyDescent="0.35">
      <c r="A37" s="42" t="s">
        <v>45</v>
      </c>
      <c r="B37" s="43" t="s">
        <v>37</v>
      </c>
    </row>
    <row r="38" spans="1:8" ht="25.8" x14ac:dyDescent="0.5">
      <c r="A38" s="47" t="s">
        <v>0</v>
      </c>
      <c r="B38" s="47"/>
      <c r="C38" s="47"/>
      <c r="D38" s="47"/>
      <c r="E38" s="47"/>
      <c r="F38" s="47"/>
      <c r="G38" s="47"/>
      <c r="H38" s="47"/>
    </row>
    <row r="39" spans="1:8" ht="18" x14ac:dyDescent="0.35">
      <c r="A39" s="10" t="s">
        <v>1</v>
      </c>
      <c r="B39" s="10" t="s">
        <v>26</v>
      </c>
      <c r="C39" s="10" t="s">
        <v>2</v>
      </c>
      <c r="D39" s="10" t="s">
        <v>34</v>
      </c>
      <c r="E39" s="10" t="s">
        <v>29</v>
      </c>
      <c r="F39" s="10" t="s">
        <v>28</v>
      </c>
      <c r="G39" s="10" t="s">
        <v>4</v>
      </c>
      <c r="H39" s="10" t="s">
        <v>25</v>
      </c>
    </row>
    <row r="40" spans="1:8" ht="15.6" x14ac:dyDescent="0.3">
      <c r="A40" s="11" t="s">
        <v>24</v>
      </c>
      <c r="B40" s="11"/>
      <c r="C40" s="12"/>
      <c r="D40" s="12"/>
      <c r="E40" s="12"/>
      <c r="F40" s="12"/>
      <c r="G40" s="12"/>
      <c r="H40" s="13"/>
    </row>
    <row r="41" spans="1:8" ht="15.6" x14ac:dyDescent="0.3">
      <c r="A41" s="14" t="s">
        <v>5</v>
      </c>
      <c r="B41" s="15">
        <v>5</v>
      </c>
      <c r="C41" s="15">
        <v>25</v>
      </c>
      <c r="D41" s="15">
        <f>C41*B41</f>
        <v>125</v>
      </c>
      <c r="E41" s="17">
        <v>3</v>
      </c>
      <c r="F41" s="17">
        <f>E41*B41</f>
        <v>15</v>
      </c>
      <c r="G41" s="15">
        <f>(C41-E41)*B41</f>
        <v>110</v>
      </c>
      <c r="H41" s="18">
        <f>G41/F41</f>
        <v>7.333333333333333</v>
      </c>
    </row>
    <row r="42" spans="1:8" ht="15.6" x14ac:dyDescent="0.3">
      <c r="A42" s="14" t="s">
        <v>6</v>
      </c>
      <c r="B42" s="15">
        <v>18</v>
      </c>
      <c r="C42" s="15">
        <v>35</v>
      </c>
      <c r="D42" s="15">
        <f t="shared" ref="D42:D44" si="4">C42*B42</f>
        <v>630</v>
      </c>
      <c r="E42" s="17">
        <f>3+7</f>
        <v>10</v>
      </c>
      <c r="F42" s="17">
        <f t="shared" ref="F42:F44" si="5">E42*B42</f>
        <v>180</v>
      </c>
      <c r="G42" s="15">
        <f t="shared" ref="G42:G61" si="6">(C42-E42)*B42</f>
        <v>450</v>
      </c>
      <c r="H42" s="18">
        <f t="shared" ref="H42:H62" si="7">G42/F42</f>
        <v>2.5</v>
      </c>
    </row>
    <row r="43" spans="1:8" ht="15.6" x14ac:dyDescent="0.3">
      <c r="A43" s="14" t="s">
        <v>7</v>
      </c>
      <c r="B43" s="15">
        <v>2</v>
      </c>
      <c r="C43" s="15">
        <v>60</v>
      </c>
      <c r="D43" s="15">
        <f t="shared" si="4"/>
        <v>120</v>
      </c>
      <c r="E43" s="17">
        <f>3+30+7</f>
        <v>40</v>
      </c>
      <c r="F43" s="17">
        <f t="shared" si="5"/>
        <v>80</v>
      </c>
      <c r="G43" s="15">
        <f t="shared" si="6"/>
        <v>40</v>
      </c>
      <c r="H43" s="18">
        <f t="shared" si="7"/>
        <v>0.5</v>
      </c>
    </row>
    <row r="44" spans="1:8" ht="15.6" x14ac:dyDescent="0.3">
      <c r="A44" s="14" t="s">
        <v>8</v>
      </c>
      <c r="B44" s="15">
        <v>1</v>
      </c>
      <c r="C44" s="15">
        <v>70</v>
      </c>
      <c r="D44" s="15">
        <f t="shared" si="4"/>
        <v>70</v>
      </c>
      <c r="E44" s="17">
        <f>3+7+7+30</f>
        <v>47</v>
      </c>
      <c r="F44" s="17">
        <f t="shared" si="5"/>
        <v>47</v>
      </c>
      <c r="G44" s="15">
        <f t="shared" si="6"/>
        <v>23</v>
      </c>
      <c r="H44" s="18">
        <f t="shared" si="7"/>
        <v>0.48936170212765956</v>
      </c>
    </row>
    <row r="45" spans="1:8" ht="15.6" x14ac:dyDescent="0.3">
      <c r="A45" s="13" t="s">
        <v>23</v>
      </c>
      <c r="B45" s="19"/>
      <c r="C45" s="13"/>
      <c r="D45" s="19"/>
      <c r="E45" s="19"/>
      <c r="F45" s="19"/>
      <c r="G45" s="19"/>
      <c r="H45" s="21"/>
    </row>
    <row r="46" spans="1:8" ht="15.6" x14ac:dyDescent="0.3">
      <c r="A46" s="14" t="s">
        <v>9</v>
      </c>
      <c r="B46" s="15">
        <v>13</v>
      </c>
      <c r="C46" s="15">
        <v>50</v>
      </c>
      <c r="D46" s="15">
        <f t="shared" ref="D46:D49" si="8">C46*B46</f>
        <v>650</v>
      </c>
      <c r="E46" s="17">
        <f>30+5</f>
        <v>35</v>
      </c>
      <c r="F46" s="17">
        <f t="shared" ref="F46:F49" si="9">E46*B46</f>
        <v>455</v>
      </c>
      <c r="G46" s="15">
        <f t="shared" si="6"/>
        <v>195</v>
      </c>
      <c r="H46" s="18">
        <f t="shared" si="7"/>
        <v>0.42857142857142855</v>
      </c>
    </row>
    <row r="47" spans="1:8" ht="15.6" x14ac:dyDescent="0.3">
      <c r="A47" s="14" t="s">
        <v>11</v>
      </c>
      <c r="B47" s="15"/>
      <c r="C47" s="15">
        <v>65</v>
      </c>
      <c r="D47" s="15">
        <f t="shared" si="8"/>
        <v>0</v>
      </c>
      <c r="E47" s="17">
        <f>5+30+7+5</f>
        <v>47</v>
      </c>
      <c r="F47" s="17">
        <f t="shared" si="9"/>
        <v>0</v>
      </c>
      <c r="G47" s="15">
        <f t="shared" si="6"/>
        <v>0</v>
      </c>
      <c r="H47" s="18" t="e">
        <f t="shared" si="7"/>
        <v>#DIV/0!</v>
      </c>
    </row>
    <row r="48" spans="1:8" ht="15.6" x14ac:dyDescent="0.3">
      <c r="A48" s="14" t="s">
        <v>10</v>
      </c>
      <c r="B48" s="15">
        <v>23</v>
      </c>
      <c r="C48" s="15">
        <v>65</v>
      </c>
      <c r="D48" s="15">
        <f t="shared" si="8"/>
        <v>1495</v>
      </c>
      <c r="E48" s="17">
        <f>30+5+7</f>
        <v>42</v>
      </c>
      <c r="F48" s="17">
        <f t="shared" si="9"/>
        <v>966</v>
      </c>
      <c r="G48" s="15">
        <f t="shared" si="6"/>
        <v>529</v>
      </c>
      <c r="H48" s="18">
        <f t="shared" si="7"/>
        <v>0.54761904761904767</v>
      </c>
    </row>
    <row r="49" spans="1:8" ht="15.6" x14ac:dyDescent="0.3">
      <c r="A49" s="14" t="s">
        <v>12</v>
      </c>
      <c r="B49" s="15">
        <v>4</v>
      </c>
      <c r="C49" s="15">
        <v>100</v>
      </c>
      <c r="D49" s="15">
        <f t="shared" si="8"/>
        <v>400</v>
      </c>
      <c r="E49" s="17">
        <f>5+7+7+30+15</f>
        <v>64</v>
      </c>
      <c r="F49" s="17">
        <f t="shared" si="9"/>
        <v>256</v>
      </c>
      <c r="G49" s="15">
        <f t="shared" si="6"/>
        <v>144</v>
      </c>
      <c r="H49" s="18">
        <f t="shared" si="7"/>
        <v>0.5625</v>
      </c>
    </row>
    <row r="50" spans="1:8" ht="15.6" x14ac:dyDescent="0.3">
      <c r="A50" s="13" t="s">
        <v>22</v>
      </c>
      <c r="B50" s="19"/>
      <c r="C50" s="13"/>
      <c r="D50" s="19"/>
      <c r="E50" s="19"/>
      <c r="F50" s="19"/>
      <c r="G50" s="19"/>
      <c r="H50" s="21"/>
    </row>
    <row r="51" spans="1:8" ht="15.6" x14ac:dyDescent="0.3">
      <c r="A51" s="14" t="s">
        <v>13</v>
      </c>
      <c r="B51" s="15"/>
      <c r="C51" s="15">
        <v>70</v>
      </c>
      <c r="D51" s="15">
        <f t="shared" ref="D51:D55" si="10">C51*B51</f>
        <v>0</v>
      </c>
      <c r="E51" s="17">
        <f>7+7+30</f>
        <v>44</v>
      </c>
      <c r="F51" s="17">
        <f t="shared" ref="F51:F55" si="11">E51*B51</f>
        <v>0</v>
      </c>
      <c r="G51" s="15">
        <f t="shared" si="6"/>
        <v>0</v>
      </c>
      <c r="H51" s="18" t="e">
        <f t="shared" si="7"/>
        <v>#DIV/0!</v>
      </c>
    </row>
    <row r="52" spans="1:8" ht="15.6" x14ac:dyDescent="0.3">
      <c r="A52" s="14" t="s">
        <v>14</v>
      </c>
      <c r="B52" s="15">
        <v>2</v>
      </c>
      <c r="C52" s="15">
        <v>70</v>
      </c>
      <c r="D52" s="15">
        <f t="shared" si="10"/>
        <v>140</v>
      </c>
      <c r="E52" s="17">
        <f>7+7+30</f>
        <v>44</v>
      </c>
      <c r="F52" s="17">
        <f t="shared" si="11"/>
        <v>88</v>
      </c>
      <c r="G52" s="15">
        <f t="shared" si="6"/>
        <v>52</v>
      </c>
      <c r="H52" s="18">
        <f t="shared" si="7"/>
        <v>0.59090909090909094</v>
      </c>
    </row>
    <row r="53" spans="1:8" ht="15.6" x14ac:dyDescent="0.3">
      <c r="A53" s="14" t="s">
        <v>15</v>
      </c>
      <c r="B53" s="15"/>
      <c r="C53" s="15">
        <v>70</v>
      </c>
      <c r="D53" s="15">
        <f t="shared" si="10"/>
        <v>0</v>
      </c>
      <c r="E53" s="17">
        <f>7+7+20</f>
        <v>34</v>
      </c>
      <c r="F53" s="17">
        <f t="shared" si="11"/>
        <v>0</v>
      </c>
      <c r="G53" s="15">
        <f t="shared" si="6"/>
        <v>0</v>
      </c>
      <c r="H53" s="18" t="e">
        <f t="shared" si="7"/>
        <v>#DIV/0!</v>
      </c>
    </row>
    <row r="54" spans="1:8" ht="15.6" x14ac:dyDescent="0.3">
      <c r="A54" s="14" t="s">
        <v>16</v>
      </c>
      <c r="B54" s="15"/>
      <c r="C54" s="15">
        <v>120</v>
      </c>
      <c r="D54" s="15">
        <f t="shared" si="10"/>
        <v>0</v>
      </c>
      <c r="E54" s="17"/>
      <c r="F54" s="17">
        <f t="shared" si="11"/>
        <v>0</v>
      </c>
      <c r="G54" s="15">
        <f t="shared" si="6"/>
        <v>0</v>
      </c>
      <c r="H54" s="18" t="e">
        <f t="shared" si="7"/>
        <v>#DIV/0!</v>
      </c>
    </row>
    <row r="55" spans="1:8" ht="15.6" x14ac:dyDescent="0.3">
      <c r="A55" s="14" t="s">
        <v>17</v>
      </c>
      <c r="B55" s="15"/>
      <c r="C55" s="15">
        <v>120</v>
      </c>
      <c r="D55" s="15">
        <f t="shared" si="10"/>
        <v>0</v>
      </c>
      <c r="E55" s="17"/>
      <c r="F55" s="17">
        <f t="shared" si="11"/>
        <v>0</v>
      </c>
      <c r="G55" s="15">
        <f t="shared" si="6"/>
        <v>0</v>
      </c>
      <c r="H55" s="18" t="e">
        <f t="shared" si="7"/>
        <v>#DIV/0!</v>
      </c>
    </row>
    <row r="56" spans="1:8" ht="15.6" x14ac:dyDescent="0.3">
      <c r="A56" s="13" t="s">
        <v>21</v>
      </c>
      <c r="B56" s="19"/>
      <c r="C56" s="13"/>
      <c r="D56" s="19"/>
      <c r="E56" s="19"/>
      <c r="F56" s="19"/>
      <c r="G56" s="19"/>
      <c r="H56" s="21"/>
    </row>
    <row r="57" spans="1:8" ht="15.6" x14ac:dyDescent="0.3">
      <c r="A57" s="14" t="s">
        <v>18</v>
      </c>
      <c r="B57" s="15">
        <v>11</v>
      </c>
      <c r="C57" s="15">
        <v>15</v>
      </c>
      <c r="D57" s="15">
        <f t="shared" ref="D57:D61" si="12">C57*B57</f>
        <v>165</v>
      </c>
      <c r="E57" s="17">
        <v>7</v>
      </c>
      <c r="F57" s="17">
        <f t="shared" ref="F57:F61" si="13">E57*B57</f>
        <v>77</v>
      </c>
      <c r="G57" s="15">
        <f t="shared" si="6"/>
        <v>88</v>
      </c>
      <c r="H57" s="18">
        <f t="shared" si="7"/>
        <v>1.1428571428571428</v>
      </c>
    </row>
    <row r="58" spans="1:8" ht="15.6" x14ac:dyDescent="0.3">
      <c r="A58" s="14" t="s">
        <v>19</v>
      </c>
      <c r="B58" s="15">
        <v>2</v>
      </c>
      <c r="C58" s="15">
        <v>15</v>
      </c>
      <c r="D58" s="15">
        <f t="shared" si="12"/>
        <v>30</v>
      </c>
      <c r="E58" s="17">
        <v>7</v>
      </c>
      <c r="F58" s="17">
        <f t="shared" si="13"/>
        <v>14</v>
      </c>
      <c r="G58" s="15">
        <f t="shared" si="6"/>
        <v>16</v>
      </c>
      <c r="H58" s="18">
        <f t="shared" si="7"/>
        <v>1.1428571428571428</v>
      </c>
    </row>
    <row r="59" spans="1:8" ht="15.6" x14ac:dyDescent="0.3">
      <c r="A59" s="14" t="s">
        <v>20</v>
      </c>
      <c r="B59" s="15"/>
      <c r="C59" s="15">
        <v>15</v>
      </c>
      <c r="D59" s="15">
        <f t="shared" si="12"/>
        <v>0</v>
      </c>
      <c r="E59" s="17">
        <v>7</v>
      </c>
      <c r="F59" s="17">
        <f t="shared" si="13"/>
        <v>0</v>
      </c>
      <c r="G59" s="15">
        <f t="shared" si="6"/>
        <v>0</v>
      </c>
      <c r="H59" s="18" t="e">
        <f t="shared" si="7"/>
        <v>#DIV/0!</v>
      </c>
    </row>
    <row r="60" spans="1:8" ht="15.6" x14ac:dyDescent="0.3">
      <c r="A60" s="14" t="s">
        <v>48</v>
      </c>
      <c r="B60" s="15">
        <v>4</v>
      </c>
      <c r="C60" s="15">
        <v>25</v>
      </c>
      <c r="D60" s="15">
        <f t="shared" si="12"/>
        <v>100</v>
      </c>
      <c r="E60" s="17">
        <v>15</v>
      </c>
      <c r="F60" s="17">
        <f t="shared" si="13"/>
        <v>60</v>
      </c>
      <c r="G60" s="15">
        <f t="shared" si="6"/>
        <v>40</v>
      </c>
      <c r="H60" s="18">
        <f t="shared" si="7"/>
        <v>0.66666666666666663</v>
      </c>
    </row>
    <row r="61" spans="1:8" ht="15.6" x14ac:dyDescent="0.3">
      <c r="A61" s="14" t="s">
        <v>47</v>
      </c>
      <c r="B61" s="14"/>
      <c r="C61" s="14">
        <v>20</v>
      </c>
      <c r="D61" s="14">
        <f t="shared" si="12"/>
        <v>0</v>
      </c>
      <c r="E61" s="45">
        <v>8.4</v>
      </c>
      <c r="F61" s="45">
        <f t="shared" si="13"/>
        <v>0</v>
      </c>
      <c r="G61" s="15">
        <f t="shared" si="6"/>
        <v>0</v>
      </c>
      <c r="H61" s="18" t="e">
        <f t="shared" si="7"/>
        <v>#DIV/0!</v>
      </c>
    </row>
    <row r="62" spans="1:8" ht="15.6" x14ac:dyDescent="0.3">
      <c r="A62" s="14" t="s">
        <v>27</v>
      </c>
      <c r="B62" s="14"/>
      <c r="C62" s="14"/>
      <c r="D62" s="14"/>
      <c r="E62" s="15"/>
      <c r="F62" s="16">
        <f>SUM(F41:F61)</f>
        <v>2238</v>
      </c>
      <c r="G62" s="16">
        <f>SUM(G41:G61)</f>
        <v>1687</v>
      </c>
      <c r="H62" s="18">
        <f t="shared" si="7"/>
        <v>0.75379803395889189</v>
      </c>
    </row>
    <row r="63" spans="1:8" ht="15.6" x14ac:dyDescent="0.3">
      <c r="A63" s="23"/>
      <c r="B63" s="23"/>
      <c r="C63" s="23"/>
      <c r="D63" s="23"/>
      <c r="E63" s="23"/>
      <c r="F63" s="23"/>
      <c r="G63" s="23"/>
      <c r="H63" s="23"/>
    </row>
    <row r="64" spans="1:8" ht="15.6" x14ac:dyDescent="0.3">
      <c r="A64" s="24" t="s">
        <v>3</v>
      </c>
      <c r="B64" s="28">
        <f>F62</f>
        <v>2238</v>
      </c>
      <c r="C64" s="23"/>
      <c r="D64" s="23"/>
      <c r="E64" s="23"/>
      <c r="F64" s="23"/>
      <c r="G64" s="23"/>
      <c r="H64" s="23"/>
    </row>
    <row r="65" spans="1:8" ht="15.6" x14ac:dyDescent="0.3">
      <c r="A65" s="25" t="s">
        <v>30</v>
      </c>
      <c r="B65" s="28">
        <f>B64+G62</f>
        <v>3925</v>
      </c>
      <c r="C65" s="23"/>
      <c r="D65" s="23"/>
      <c r="E65" s="23"/>
      <c r="F65" s="23"/>
      <c r="G65" s="23"/>
      <c r="H65" s="23"/>
    </row>
    <row r="66" spans="1:8" ht="15.6" x14ac:dyDescent="0.3">
      <c r="A66" s="30" t="s">
        <v>32</v>
      </c>
      <c r="B66" s="32">
        <v>573</v>
      </c>
      <c r="C66" s="23" t="s">
        <v>41</v>
      </c>
      <c r="D66" s="23"/>
      <c r="E66" s="23"/>
      <c r="F66" s="23"/>
      <c r="G66" s="23"/>
      <c r="H66" s="23"/>
    </row>
    <row r="67" spans="1:8" ht="15.6" x14ac:dyDescent="0.3">
      <c r="A67" s="31"/>
      <c r="B67" s="31"/>
      <c r="C67" s="23"/>
      <c r="D67" s="23"/>
      <c r="E67" s="23"/>
      <c r="F67" s="23"/>
      <c r="G67" s="23"/>
      <c r="H67" s="23"/>
    </row>
    <row r="68" spans="1:8" ht="15.6" x14ac:dyDescent="0.3">
      <c r="A68" s="24" t="s">
        <v>31</v>
      </c>
      <c r="B68" s="28">
        <f>B65-B64-B66</f>
        <v>1114</v>
      </c>
      <c r="C68" s="23"/>
      <c r="D68" s="23"/>
      <c r="E68" s="23"/>
      <c r="F68" s="23"/>
      <c r="G68" s="23"/>
      <c r="H68" s="23">
        <f>240+160+200+310+200</f>
        <v>1110</v>
      </c>
    </row>
    <row r="69" spans="1:8" ht="15.6" x14ac:dyDescent="0.3">
      <c r="A69" s="39" t="s">
        <v>43</v>
      </c>
      <c r="B69" s="28">
        <v>1110</v>
      </c>
    </row>
    <row r="70" spans="1:8" x14ac:dyDescent="0.3">
      <c r="A70" s="40" t="s">
        <v>44</v>
      </c>
      <c r="B70" s="41">
        <f>SUM(B68:B69)</f>
        <v>2224</v>
      </c>
      <c r="D70" s="8"/>
    </row>
  </sheetData>
  <mergeCells count="2">
    <mergeCell ref="A2:H2"/>
    <mergeCell ref="A38:H38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7F8E-C04D-4C15-8822-7C3ADA3EC195}">
  <dimension ref="A1:H59"/>
  <sheetViews>
    <sheetView topLeftCell="A37" zoomScale="90" zoomScaleNormal="90" workbookViewId="0">
      <selection activeCell="B59" sqref="B59"/>
    </sheetView>
  </sheetViews>
  <sheetFormatPr defaultRowHeight="14.4" x14ac:dyDescent="0.3"/>
  <cols>
    <col min="1" max="1" width="20.6640625" customWidth="1"/>
    <col min="2" max="2" width="22.88671875" customWidth="1"/>
    <col min="3" max="3" width="19" customWidth="1"/>
    <col min="4" max="4" width="17.5546875" customWidth="1"/>
    <col min="5" max="5" width="18.77734375" customWidth="1"/>
    <col min="6" max="6" width="16" customWidth="1"/>
    <col min="7" max="7" width="13.88671875" customWidth="1"/>
    <col min="8" max="8" width="16.5546875" customWidth="1"/>
  </cols>
  <sheetData>
    <row r="1" spans="1:8" ht="18" x14ac:dyDescent="0.35">
      <c r="A1" s="42" t="s">
        <v>45</v>
      </c>
      <c r="B1" s="43">
        <v>46303</v>
      </c>
    </row>
    <row r="2" spans="1:8" ht="25.8" x14ac:dyDescent="0.5">
      <c r="A2" s="47" t="s">
        <v>0</v>
      </c>
      <c r="B2" s="47"/>
      <c r="C2" s="47"/>
      <c r="D2" s="47"/>
      <c r="E2" s="47"/>
      <c r="F2" s="47"/>
      <c r="G2" s="47"/>
      <c r="H2" s="47"/>
    </row>
    <row r="3" spans="1:8" ht="18" x14ac:dyDescent="0.35">
      <c r="A3" s="10" t="s">
        <v>1</v>
      </c>
      <c r="B3" s="10" t="s">
        <v>26</v>
      </c>
      <c r="C3" s="10" t="s">
        <v>2</v>
      </c>
      <c r="D3" s="10" t="s">
        <v>34</v>
      </c>
      <c r="E3" s="10" t="s">
        <v>29</v>
      </c>
      <c r="F3" s="10" t="s">
        <v>28</v>
      </c>
      <c r="G3" s="10" t="s">
        <v>4</v>
      </c>
      <c r="H3" s="10" t="s">
        <v>25</v>
      </c>
    </row>
    <row r="4" spans="1:8" ht="15.6" x14ac:dyDescent="0.3">
      <c r="A4" s="11" t="s">
        <v>24</v>
      </c>
      <c r="B4" s="11"/>
      <c r="C4" s="12"/>
      <c r="D4" s="12"/>
      <c r="E4" s="12"/>
      <c r="F4" s="12"/>
      <c r="G4" s="12"/>
      <c r="H4" s="13"/>
    </row>
    <row r="5" spans="1:8" ht="15.6" x14ac:dyDescent="0.3">
      <c r="A5" s="14" t="s">
        <v>5</v>
      </c>
      <c r="B5" s="15"/>
      <c r="C5" s="15">
        <v>35</v>
      </c>
      <c r="D5" s="16">
        <f>C5*B5</f>
        <v>0</v>
      </c>
      <c r="E5" s="17">
        <v>3</v>
      </c>
      <c r="F5" s="37">
        <f>E5*B5</f>
        <v>0</v>
      </c>
      <c r="G5" s="16">
        <f>(C5-E5)*B5</f>
        <v>0</v>
      </c>
      <c r="H5" s="18" t="e">
        <f>G5/F5</f>
        <v>#DIV/0!</v>
      </c>
    </row>
    <row r="6" spans="1:8" ht="15.6" x14ac:dyDescent="0.3">
      <c r="A6" s="14" t="s">
        <v>6</v>
      </c>
      <c r="B6" s="15"/>
      <c r="C6" s="15">
        <v>45</v>
      </c>
      <c r="D6" s="16">
        <f t="shared" ref="D6:D23" si="0">C6*B6</f>
        <v>0</v>
      </c>
      <c r="E6" s="17">
        <f>3+7</f>
        <v>10</v>
      </c>
      <c r="F6" s="37">
        <f t="shared" ref="F6:F23" si="1">E6*B6</f>
        <v>0</v>
      </c>
      <c r="G6" s="16">
        <f t="shared" ref="G6:G23" si="2">(C6-E6)*B6</f>
        <v>0</v>
      </c>
      <c r="H6" s="18">
        <f t="shared" ref="H6:H23" si="3">G6/E6</f>
        <v>0</v>
      </c>
    </row>
    <row r="7" spans="1:8" ht="15.6" x14ac:dyDescent="0.3">
      <c r="A7" s="14" t="s">
        <v>7</v>
      </c>
      <c r="B7" s="15"/>
      <c r="C7" s="15">
        <v>70</v>
      </c>
      <c r="D7" s="16">
        <f t="shared" si="0"/>
        <v>0</v>
      </c>
      <c r="E7" s="17">
        <f>3+30+7</f>
        <v>40</v>
      </c>
      <c r="F7" s="37">
        <f t="shared" si="1"/>
        <v>0</v>
      </c>
      <c r="G7" s="16">
        <f t="shared" si="2"/>
        <v>0</v>
      </c>
      <c r="H7" s="18">
        <f t="shared" si="3"/>
        <v>0</v>
      </c>
    </row>
    <row r="8" spans="1:8" ht="15.6" x14ac:dyDescent="0.3">
      <c r="A8" s="14" t="s">
        <v>8</v>
      </c>
      <c r="B8" s="15">
        <v>7</v>
      </c>
      <c r="C8" s="15">
        <v>80</v>
      </c>
      <c r="D8" s="16">
        <f t="shared" si="0"/>
        <v>560</v>
      </c>
      <c r="E8" s="17">
        <f>3+7+7+30</f>
        <v>47</v>
      </c>
      <c r="F8" s="37">
        <f t="shared" si="1"/>
        <v>329</v>
      </c>
      <c r="G8" s="16">
        <f t="shared" si="2"/>
        <v>231</v>
      </c>
      <c r="H8" s="18">
        <f>G8/F8</f>
        <v>0.7021276595744681</v>
      </c>
    </row>
    <row r="9" spans="1:8" ht="15.6" x14ac:dyDescent="0.3">
      <c r="A9" s="13" t="s">
        <v>23</v>
      </c>
      <c r="B9" s="19"/>
      <c r="C9" s="13"/>
      <c r="D9" s="20"/>
      <c r="E9" s="19"/>
      <c r="F9" s="20"/>
      <c r="G9" s="20"/>
      <c r="H9" s="21"/>
    </row>
    <row r="10" spans="1:8" ht="15.6" x14ac:dyDescent="0.3">
      <c r="A10" s="14" t="s">
        <v>9</v>
      </c>
      <c r="B10" s="15"/>
      <c r="C10" s="15">
        <v>65</v>
      </c>
      <c r="D10" s="16">
        <f t="shared" si="0"/>
        <v>0</v>
      </c>
      <c r="E10" s="17">
        <f>30+5</f>
        <v>35</v>
      </c>
      <c r="F10" s="37">
        <f t="shared" si="1"/>
        <v>0</v>
      </c>
      <c r="G10" s="16">
        <f t="shared" si="2"/>
        <v>0</v>
      </c>
      <c r="H10" s="18">
        <f t="shared" si="3"/>
        <v>0</v>
      </c>
    </row>
    <row r="11" spans="1:8" ht="15.6" x14ac:dyDescent="0.3">
      <c r="A11" s="14" t="s">
        <v>11</v>
      </c>
      <c r="B11" s="15"/>
      <c r="C11" s="15">
        <v>80</v>
      </c>
      <c r="D11" s="16">
        <f t="shared" si="0"/>
        <v>0</v>
      </c>
      <c r="E11" s="17">
        <f>5+30+7+5</f>
        <v>47</v>
      </c>
      <c r="F11" s="37">
        <f t="shared" si="1"/>
        <v>0</v>
      </c>
      <c r="G11" s="16">
        <f t="shared" si="2"/>
        <v>0</v>
      </c>
      <c r="H11" s="18">
        <f t="shared" si="3"/>
        <v>0</v>
      </c>
    </row>
    <row r="12" spans="1:8" ht="15.6" x14ac:dyDescent="0.3">
      <c r="A12" s="14" t="s">
        <v>10</v>
      </c>
      <c r="B12" s="15">
        <v>1</v>
      </c>
      <c r="C12" s="15">
        <v>80</v>
      </c>
      <c r="D12" s="16">
        <f t="shared" si="0"/>
        <v>80</v>
      </c>
      <c r="E12" s="17">
        <f>30+5+7</f>
        <v>42</v>
      </c>
      <c r="F12" s="37">
        <f t="shared" si="1"/>
        <v>42</v>
      </c>
      <c r="G12" s="16">
        <f t="shared" si="2"/>
        <v>38</v>
      </c>
      <c r="H12" s="18">
        <f t="shared" si="3"/>
        <v>0.90476190476190477</v>
      </c>
    </row>
    <row r="13" spans="1:8" ht="15.6" x14ac:dyDescent="0.3">
      <c r="A13" s="14" t="s">
        <v>12</v>
      </c>
      <c r="B13" s="15">
        <v>2</v>
      </c>
      <c r="C13" s="15">
        <v>120</v>
      </c>
      <c r="D13" s="16">
        <f t="shared" si="0"/>
        <v>240</v>
      </c>
      <c r="E13" s="17">
        <f>5+7+7+30+15</f>
        <v>64</v>
      </c>
      <c r="F13" s="37">
        <f t="shared" si="1"/>
        <v>128</v>
      </c>
      <c r="G13" s="16">
        <f t="shared" si="2"/>
        <v>112</v>
      </c>
      <c r="H13" s="18">
        <f>G13/F13</f>
        <v>0.875</v>
      </c>
    </row>
    <row r="14" spans="1:8" ht="15.6" x14ac:dyDescent="0.3">
      <c r="A14" s="13" t="s">
        <v>22</v>
      </c>
      <c r="B14" s="19"/>
      <c r="C14" s="13"/>
      <c r="D14" s="20"/>
      <c r="E14" s="19"/>
      <c r="F14" s="20"/>
      <c r="G14" s="20"/>
      <c r="H14" s="21"/>
    </row>
    <row r="15" spans="1:8" ht="15.6" x14ac:dyDescent="0.3">
      <c r="A15" s="14" t="s">
        <v>13</v>
      </c>
      <c r="B15" s="15"/>
      <c r="C15" s="15">
        <v>90</v>
      </c>
      <c r="D15" s="16">
        <f t="shared" si="0"/>
        <v>0</v>
      </c>
      <c r="E15" s="17">
        <f>7+7+30</f>
        <v>44</v>
      </c>
      <c r="F15" s="37">
        <f t="shared" si="1"/>
        <v>0</v>
      </c>
      <c r="G15" s="16">
        <f t="shared" si="2"/>
        <v>0</v>
      </c>
      <c r="H15" s="18">
        <f t="shared" si="3"/>
        <v>0</v>
      </c>
    </row>
    <row r="16" spans="1:8" ht="15.6" x14ac:dyDescent="0.3">
      <c r="A16" s="14" t="s">
        <v>14</v>
      </c>
      <c r="B16" s="15"/>
      <c r="C16" s="15">
        <v>90</v>
      </c>
      <c r="D16" s="16">
        <f t="shared" si="0"/>
        <v>0</v>
      </c>
      <c r="E16" s="17">
        <f>7+7+30</f>
        <v>44</v>
      </c>
      <c r="F16" s="37">
        <f t="shared" si="1"/>
        <v>0</v>
      </c>
      <c r="G16" s="16">
        <f t="shared" si="2"/>
        <v>0</v>
      </c>
      <c r="H16" s="18">
        <f t="shared" si="3"/>
        <v>0</v>
      </c>
    </row>
    <row r="17" spans="1:8" ht="15.6" x14ac:dyDescent="0.3">
      <c r="A17" s="14" t="s">
        <v>15</v>
      </c>
      <c r="B17" s="15"/>
      <c r="C17" s="15">
        <v>80</v>
      </c>
      <c r="D17" s="16">
        <f t="shared" si="0"/>
        <v>0</v>
      </c>
      <c r="E17" s="17">
        <f>7+7+20</f>
        <v>34</v>
      </c>
      <c r="F17" s="37">
        <f t="shared" si="1"/>
        <v>0</v>
      </c>
      <c r="G17" s="16">
        <f t="shared" si="2"/>
        <v>0</v>
      </c>
      <c r="H17" s="18">
        <f t="shared" si="3"/>
        <v>0</v>
      </c>
    </row>
    <row r="18" spans="1:8" ht="15.6" x14ac:dyDescent="0.3">
      <c r="A18" s="14" t="s">
        <v>16</v>
      </c>
      <c r="B18" s="15"/>
      <c r="C18" s="15">
        <v>120</v>
      </c>
      <c r="D18" s="16">
        <f t="shared" si="0"/>
        <v>0</v>
      </c>
      <c r="E18" s="17">
        <f>7+7+35</f>
        <v>49</v>
      </c>
      <c r="F18" s="37">
        <f t="shared" si="1"/>
        <v>0</v>
      </c>
      <c r="G18" s="16">
        <f t="shared" si="2"/>
        <v>0</v>
      </c>
      <c r="H18" s="22"/>
    </row>
    <row r="19" spans="1:8" ht="15.6" x14ac:dyDescent="0.3">
      <c r="A19" s="14" t="s">
        <v>17</v>
      </c>
      <c r="B19" s="15"/>
      <c r="C19" s="15">
        <v>120</v>
      </c>
      <c r="D19" s="16">
        <f t="shared" si="0"/>
        <v>0</v>
      </c>
      <c r="E19" s="17"/>
      <c r="F19" s="37">
        <f t="shared" si="1"/>
        <v>0</v>
      </c>
      <c r="G19" s="16">
        <f t="shared" si="2"/>
        <v>0</v>
      </c>
      <c r="H19" s="22"/>
    </row>
    <row r="20" spans="1:8" ht="15.6" x14ac:dyDescent="0.3">
      <c r="A20" s="13" t="s">
        <v>21</v>
      </c>
      <c r="B20" s="19"/>
      <c r="C20" s="13"/>
      <c r="D20" s="20"/>
      <c r="E20" s="19"/>
      <c r="F20" s="20"/>
      <c r="G20" s="20"/>
      <c r="H20" s="21"/>
    </row>
    <row r="21" spans="1:8" ht="15.6" x14ac:dyDescent="0.3">
      <c r="A21" s="14" t="s">
        <v>18</v>
      </c>
      <c r="B21" s="15"/>
      <c r="C21" s="15">
        <v>20</v>
      </c>
      <c r="D21" s="16">
        <f t="shared" si="0"/>
        <v>0</v>
      </c>
      <c r="E21" s="17">
        <v>7</v>
      </c>
      <c r="F21" s="37">
        <f t="shared" si="1"/>
        <v>0</v>
      </c>
      <c r="G21" s="16">
        <f t="shared" si="2"/>
        <v>0</v>
      </c>
      <c r="H21" s="18">
        <f t="shared" si="3"/>
        <v>0</v>
      </c>
    </row>
    <row r="22" spans="1:8" ht="15.6" x14ac:dyDescent="0.3">
      <c r="A22" s="14" t="s">
        <v>19</v>
      </c>
      <c r="B22" s="15"/>
      <c r="C22" s="15">
        <v>20</v>
      </c>
      <c r="D22" s="16">
        <f t="shared" si="0"/>
        <v>0</v>
      </c>
      <c r="E22" s="17">
        <v>7</v>
      </c>
      <c r="F22" s="37">
        <f t="shared" si="1"/>
        <v>0</v>
      </c>
      <c r="G22" s="16">
        <f t="shared" si="2"/>
        <v>0</v>
      </c>
      <c r="H22" s="18">
        <f t="shared" si="3"/>
        <v>0</v>
      </c>
    </row>
    <row r="23" spans="1:8" ht="15.6" x14ac:dyDescent="0.3">
      <c r="A23" s="14" t="s">
        <v>20</v>
      </c>
      <c r="B23" s="15"/>
      <c r="C23" s="15">
        <v>20</v>
      </c>
      <c r="D23" s="16">
        <f t="shared" si="0"/>
        <v>0</v>
      </c>
      <c r="E23" s="17">
        <v>7</v>
      </c>
      <c r="F23" s="37">
        <f t="shared" si="1"/>
        <v>0</v>
      </c>
      <c r="G23" s="16">
        <f t="shared" si="2"/>
        <v>0</v>
      </c>
      <c r="H23" s="18">
        <f t="shared" si="3"/>
        <v>0</v>
      </c>
    </row>
    <row r="24" spans="1:8" ht="15.6" x14ac:dyDescent="0.3">
      <c r="A24" s="14"/>
      <c r="B24" s="14"/>
      <c r="C24" s="14"/>
      <c r="D24" s="14"/>
      <c r="E24" s="14"/>
      <c r="F24" s="14"/>
      <c r="G24" s="16"/>
      <c r="H24" s="14"/>
    </row>
    <row r="25" spans="1:8" ht="15.6" x14ac:dyDescent="0.3">
      <c r="A25" s="14" t="s">
        <v>27</v>
      </c>
      <c r="B25" s="14"/>
      <c r="C25" s="14"/>
      <c r="D25" s="14"/>
      <c r="E25" s="15"/>
      <c r="F25" s="16">
        <f>SUM(F5:F24)</f>
        <v>499</v>
      </c>
      <c r="G25" s="16">
        <f>SUM(G5:G24)</f>
        <v>381</v>
      </c>
      <c r="H25" s="18">
        <f>G25/F25</f>
        <v>0.76352705410821642</v>
      </c>
    </row>
    <row r="26" spans="1:8" ht="15.6" x14ac:dyDescent="0.3">
      <c r="A26" s="23"/>
      <c r="B26" s="23"/>
      <c r="C26" s="23"/>
      <c r="D26" s="23"/>
      <c r="E26" s="23"/>
      <c r="F26" s="23"/>
      <c r="G26" s="23"/>
      <c r="H26" s="23"/>
    </row>
    <row r="27" spans="1:8" ht="15.6" x14ac:dyDescent="0.3">
      <c r="A27" s="24" t="s">
        <v>33</v>
      </c>
      <c r="B27" s="28">
        <f>F25</f>
        <v>499</v>
      </c>
      <c r="C27" s="23"/>
      <c r="D27" s="23"/>
      <c r="E27" s="23"/>
      <c r="F27" s="23"/>
      <c r="G27" s="23"/>
      <c r="H27" s="23"/>
    </row>
    <row r="28" spans="1:8" ht="15.6" x14ac:dyDescent="0.3">
      <c r="A28" s="25" t="s">
        <v>30</v>
      </c>
      <c r="B28" s="28">
        <f>B27+G25</f>
        <v>880</v>
      </c>
      <c r="C28" s="23"/>
      <c r="D28" s="23"/>
      <c r="E28" s="23"/>
      <c r="F28" s="23"/>
      <c r="G28" s="23"/>
      <c r="H28" s="23"/>
    </row>
    <row r="29" spans="1:8" ht="15.6" x14ac:dyDescent="0.3">
      <c r="A29" s="26" t="s">
        <v>40</v>
      </c>
      <c r="B29" s="29">
        <f>B28-B27</f>
        <v>381</v>
      </c>
      <c r="C29" s="27"/>
      <c r="D29" s="27"/>
      <c r="E29" s="23"/>
      <c r="F29" s="23"/>
      <c r="G29" s="23"/>
      <c r="H29" s="23"/>
    </row>
    <row r="30" spans="1:8" x14ac:dyDescent="0.3">
      <c r="A30" s="9"/>
      <c r="B30" s="8"/>
    </row>
    <row r="31" spans="1:8" ht="18" x14ac:dyDescent="0.35">
      <c r="A31" s="42" t="s">
        <v>45</v>
      </c>
      <c r="B31" s="43" t="s">
        <v>37</v>
      </c>
    </row>
    <row r="32" spans="1:8" ht="25.8" x14ac:dyDescent="0.5">
      <c r="A32" s="47" t="s">
        <v>0</v>
      </c>
      <c r="B32" s="47"/>
      <c r="C32" s="47"/>
      <c r="D32" s="47"/>
      <c r="E32" s="47"/>
      <c r="F32" s="47"/>
      <c r="G32" s="47"/>
      <c r="H32" s="47"/>
    </row>
    <row r="33" spans="1:8" ht="18" x14ac:dyDescent="0.35">
      <c r="A33" s="10" t="s">
        <v>1</v>
      </c>
      <c r="B33" s="10" t="s">
        <v>26</v>
      </c>
      <c r="C33" s="10" t="s">
        <v>2</v>
      </c>
      <c r="D33" s="10" t="s">
        <v>34</v>
      </c>
      <c r="E33" s="10" t="s">
        <v>29</v>
      </c>
      <c r="F33" s="10" t="s">
        <v>28</v>
      </c>
      <c r="G33" s="10" t="s">
        <v>4</v>
      </c>
      <c r="H33" s="10" t="s">
        <v>25</v>
      </c>
    </row>
    <row r="34" spans="1:8" ht="15.6" x14ac:dyDescent="0.3">
      <c r="A34" s="11" t="s">
        <v>24</v>
      </c>
      <c r="B34" s="11"/>
      <c r="C34" s="12"/>
      <c r="D34" s="12"/>
      <c r="E34" s="12"/>
      <c r="F34" s="12"/>
      <c r="G34" s="12"/>
      <c r="H34" s="13"/>
    </row>
    <row r="35" spans="1:8" ht="15.6" x14ac:dyDescent="0.3">
      <c r="A35" s="14" t="s">
        <v>5</v>
      </c>
      <c r="B35" s="15"/>
      <c r="C35" s="15">
        <v>35</v>
      </c>
      <c r="D35" s="16">
        <f>C35*B35</f>
        <v>0</v>
      </c>
      <c r="E35" s="17">
        <v>3</v>
      </c>
      <c r="F35" s="37">
        <f>E35*B35</f>
        <v>0</v>
      </c>
      <c r="G35" s="16">
        <f>(C35-E35)*B35</f>
        <v>0</v>
      </c>
      <c r="H35" s="18" t="e">
        <f>G35/F35</f>
        <v>#DIV/0!</v>
      </c>
    </row>
    <row r="36" spans="1:8" ht="15.6" x14ac:dyDescent="0.3">
      <c r="A36" s="14" t="s">
        <v>6</v>
      </c>
      <c r="B36" s="15"/>
      <c r="C36" s="15">
        <v>45</v>
      </c>
      <c r="D36" s="16">
        <f t="shared" ref="D36:D38" si="4">C36*B36</f>
        <v>0</v>
      </c>
      <c r="E36" s="17">
        <f>3+7</f>
        <v>10</v>
      </c>
      <c r="F36" s="37">
        <f t="shared" ref="F36:F38" si="5">E36*B36</f>
        <v>0</v>
      </c>
      <c r="G36" s="16">
        <f t="shared" ref="G36:G38" si="6">(C36-E36)*B36</f>
        <v>0</v>
      </c>
      <c r="H36" s="18">
        <f t="shared" ref="H36:H37" si="7">G36/E36</f>
        <v>0</v>
      </c>
    </row>
    <row r="37" spans="1:8" ht="15.6" x14ac:dyDescent="0.3">
      <c r="A37" s="14" t="s">
        <v>7</v>
      </c>
      <c r="B37" s="15">
        <v>1</v>
      </c>
      <c r="C37" s="15">
        <v>70</v>
      </c>
      <c r="D37" s="16">
        <f t="shared" si="4"/>
        <v>70</v>
      </c>
      <c r="E37" s="17">
        <f>3+30+7</f>
        <v>40</v>
      </c>
      <c r="F37" s="37">
        <f t="shared" si="5"/>
        <v>40</v>
      </c>
      <c r="G37" s="16">
        <f t="shared" si="6"/>
        <v>30</v>
      </c>
      <c r="H37" s="18">
        <f t="shared" si="7"/>
        <v>0.75</v>
      </c>
    </row>
    <row r="38" spans="1:8" ht="15.6" x14ac:dyDescent="0.3">
      <c r="A38" s="14" t="s">
        <v>8</v>
      </c>
      <c r="B38" s="15">
        <v>2</v>
      </c>
      <c r="C38" s="15">
        <v>80</v>
      </c>
      <c r="D38" s="16">
        <f t="shared" si="4"/>
        <v>160</v>
      </c>
      <c r="E38" s="17">
        <f>3+7+7+30</f>
        <v>47</v>
      </c>
      <c r="F38" s="37">
        <f t="shared" si="5"/>
        <v>94</v>
      </c>
      <c r="G38" s="16">
        <f t="shared" si="6"/>
        <v>66</v>
      </c>
      <c r="H38" s="18">
        <f>G38/F38</f>
        <v>0.7021276595744681</v>
      </c>
    </row>
    <row r="39" spans="1:8" ht="15.6" x14ac:dyDescent="0.3">
      <c r="A39" s="13" t="s">
        <v>23</v>
      </c>
      <c r="B39" s="19"/>
      <c r="C39" s="13"/>
      <c r="D39" s="20"/>
      <c r="E39" s="19"/>
      <c r="F39" s="20"/>
      <c r="G39" s="20"/>
      <c r="H39" s="21"/>
    </row>
    <row r="40" spans="1:8" ht="15.6" x14ac:dyDescent="0.3">
      <c r="A40" s="14" t="s">
        <v>9</v>
      </c>
      <c r="B40" s="15">
        <v>2</v>
      </c>
      <c r="C40" s="15">
        <v>65</v>
      </c>
      <c r="D40" s="16">
        <f t="shared" ref="D40:D43" si="8">C40*B40</f>
        <v>130</v>
      </c>
      <c r="E40" s="17">
        <f>30+5</f>
        <v>35</v>
      </c>
      <c r="F40" s="37">
        <f t="shared" ref="F40:F43" si="9">E40*B40</f>
        <v>70</v>
      </c>
      <c r="G40" s="16">
        <f t="shared" ref="G40:G43" si="10">(C40-E40)*B40</f>
        <v>60</v>
      </c>
      <c r="H40" s="18">
        <f t="shared" ref="H40:H42" si="11">G40/E40</f>
        <v>1.7142857142857142</v>
      </c>
    </row>
    <row r="41" spans="1:8" ht="15.6" x14ac:dyDescent="0.3">
      <c r="A41" s="14" t="s">
        <v>11</v>
      </c>
      <c r="B41" s="15"/>
      <c r="C41" s="15">
        <v>80</v>
      </c>
      <c r="D41" s="16">
        <f t="shared" si="8"/>
        <v>0</v>
      </c>
      <c r="E41" s="17">
        <f>5+30+7+5</f>
        <v>47</v>
      </c>
      <c r="F41" s="37">
        <f t="shared" si="9"/>
        <v>0</v>
      </c>
      <c r="G41" s="16">
        <f t="shared" si="10"/>
        <v>0</v>
      </c>
      <c r="H41" s="18">
        <f t="shared" si="11"/>
        <v>0</v>
      </c>
    </row>
    <row r="42" spans="1:8" ht="15.6" x14ac:dyDescent="0.3">
      <c r="A42" s="14" t="s">
        <v>10</v>
      </c>
      <c r="B42" s="15"/>
      <c r="C42" s="15">
        <v>80</v>
      </c>
      <c r="D42" s="16">
        <f t="shared" si="8"/>
        <v>0</v>
      </c>
      <c r="E42" s="17">
        <f>30+5+7</f>
        <v>42</v>
      </c>
      <c r="F42" s="37">
        <f t="shared" si="9"/>
        <v>0</v>
      </c>
      <c r="G42" s="16">
        <f t="shared" si="10"/>
        <v>0</v>
      </c>
      <c r="H42" s="18">
        <f t="shared" si="11"/>
        <v>0</v>
      </c>
    </row>
    <row r="43" spans="1:8" ht="15.6" x14ac:dyDescent="0.3">
      <c r="A43" s="14" t="s">
        <v>12</v>
      </c>
      <c r="B43" s="15">
        <v>2</v>
      </c>
      <c r="C43" s="15">
        <v>120</v>
      </c>
      <c r="D43" s="16">
        <f t="shared" si="8"/>
        <v>240</v>
      </c>
      <c r="E43" s="17">
        <f>5+7+7+30+15</f>
        <v>64</v>
      </c>
      <c r="F43" s="37">
        <f t="shared" si="9"/>
        <v>128</v>
      </c>
      <c r="G43" s="16">
        <f t="shared" si="10"/>
        <v>112</v>
      </c>
      <c r="H43" s="18">
        <f>G43/F43</f>
        <v>0.875</v>
      </c>
    </row>
    <row r="44" spans="1:8" ht="15.6" x14ac:dyDescent="0.3">
      <c r="A44" s="13" t="s">
        <v>22</v>
      </c>
      <c r="B44" s="19"/>
      <c r="C44" s="13"/>
      <c r="D44" s="20"/>
      <c r="E44" s="19"/>
      <c r="F44" s="20"/>
      <c r="G44" s="20"/>
      <c r="H44" s="21"/>
    </row>
    <row r="45" spans="1:8" ht="15.6" x14ac:dyDescent="0.3">
      <c r="A45" s="14" t="s">
        <v>13</v>
      </c>
      <c r="B45" s="15">
        <v>2</v>
      </c>
      <c r="C45" s="15">
        <v>90</v>
      </c>
      <c r="D45" s="16">
        <f t="shared" ref="D45:D49" si="12">C45*B45</f>
        <v>180</v>
      </c>
      <c r="E45" s="17">
        <f>7+7+30</f>
        <v>44</v>
      </c>
      <c r="F45" s="37">
        <f t="shared" ref="F45:F49" si="13">E45*B45</f>
        <v>88</v>
      </c>
      <c r="G45" s="16">
        <f t="shared" ref="G45:G49" si="14">(C45-E45)*B45</f>
        <v>92</v>
      </c>
      <c r="H45" s="18">
        <f t="shared" ref="H45:H47" si="15">G45/E45</f>
        <v>2.0909090909090908</v>
      </c>
    </row>
    <row r="46" spans="1:8" ht="15.6" x14ac:dyDescent="0.3">
      <c r="A46" s="14" t="s">
        <v>14</v>
      </c>
      <c r="B46" s="15">
        <v>3</v>
      </c>
      <c r="C46" s="15">
        <v>90</v>
      </c>
      <c r="D46" s="16">
        <f t="shared" si="12"/>
        <v>270</v>
      </c>
      <c r="E46" s="17">
        <f>7+7+30</f>
        <v>44</v>
      </c>
      <c r="F46" s="37">
        <f t="shared" si="13"/>
        <v>132</v>
      </c>
      <c r="G46" s="16">
        <f t="shared" si="14"/>
        <v>138</v>
      </c>
      <c r="H46" s="18">
        <f t="shared" si="15"/>
        <v>3.1363636363636362</v>
      </c>
    </row>
    <row r="47" spans="1:8" ht="15.6" x14ac:dyDescent="0.3">
      <c r="A47" s="14" t="s">
        <v>15</v>
      </c>
      <c r="B47" s="15"/>
      <c r="C47" s="15">
        <v>80</v>
      </c>
      <c r="D47" s="16">
        <f t="shared" si="12"/>
        <v>0</v>
      </c>
      <c r="E47" s="17">
        <f>7+7+20</f>
        <v>34</v>
      </c>
      <c r="F47" s="37">
        <f t="shared" si="13"/>
        <v>0</v>
      </c>
      <c r="G47" s="16">
        <f t="shared" si="14"/>
        <v>0</v>
      </c>
      <c r="H47" s="18">
        <f t="shared" si="15"/>
        <v>0</v>
      </c>
    </row>
    <row r="48" spans="1:8" ht="15.6" x14ac:dyDescent="0.3">
      <c r="A48" s="14" t="s">
        <v>16</v>
      </c>
      <c r="B48" s="15"/>
      <c r="C48" s="15">
        <v>120</v>
      </c>
      <c r="D48" s="16">
        <f t="shared" si="12"/>
        <v>0</v>
      </c>
      <c r="E48" s="17">
        <f>7+7+35</f>
        <v>49</v>
      </c>
      <c r="F48" s="37">
        <f t="shared" si="13"/>
        <v>0</v>
      </c>
      <c r="G48" s="16">
        <f t="shared" si="14"/>
        <v>0</v>
      </c>
      <c r="H48" s="22"/>
    </row>
    <row r="49" spans="1:8" ht="15.6" x14ac:dyDescent="0.3">
      <c r="A49" s="14" t="s">
        <v>17</v>
      </c>
      <c r="B49" s="15"/>
      <c r="C49" s="15">
        <v>120</v>
      </c>
      <c r="D49" s="16">
        <f t="shared" si="12"/>
        <v>0</v>
      </c>
      <c r="E49" s="17"/>
      <c r="F49" s="37">
        <f t="shared" si="13"/>
        <v>0</v>
      </c>
      <c r="G49" s="16">
        <f t="shared" si="14"/>
        <v>0</v>
      </c>
      <c r="H49" s="22"/>
    </row>
    <row r="50" spans="1:8" ht="15.6" x14ac:dyDescent="0.3">
      <c r="A50" s="13" t="s">
        <v>21</v>
      </c>
      <c r="B50" s="19"/>
      <c r="C50" s="13"/>
      <c r="D50" s="20"/>
      <c r="E50" s="19"/>
      <c r="F50" s="20"/>
      <c r="G50" s="20"/>
      <c r="H50" s="21"/>
    </row>
    <row r="51" spans="1:8" ht="15.6" x14ac:dyDescent="0.3">
      <c r="A51" s="14" t="s">
        <v>18</v>
      </c>
      <c r="B51" s="15"/>
      <c r="C51" s="15">
        <v>20</v>
      </c>
      <c r="D51" s="16">
        <f t="shared" ref="D51:D53" si="16">C51*B51</f>
        <v>0</v>
      </c>
      <c r="E51" s="17">
        <v>7</v>
      </c>
      <c r="F51" s="37">
        <f t="shared" ref="F51:F53" si="17">E51*B51</f>
        <v>0</v>
      </c>
      <c r="G51" s="16">
        <f t="shared" ref="G51:G53" si="18">(C51-E51)*B51</f>
        <v>0</v>
      </c>
      <c r="H51" s="18">
        <f t="shared" ref="H51:H53" si="19">G51/E51</f>
        <v>0</v>
      </c>
    </row>
    <row r="52" spans="1:8" ht="15.6" x14ac:dyDescent="0.3">
      <c r="A52" s="14" t="s">
        <v>19</v>
      </c>
      <c r="B52" s="15"/>
      <c r="C52" s="15">
        <v>20</v>
      </c>
      <c r="D52" s="16">
        <f t="shared" si="16"/>
        <v>0</v>
      </c>
      <c r="E52" s="17">
        <v>7</v>
      </c>
      <c r="F52" s="37">
        <f t="shared" si="17"/>
        <v>0</v>
      </c>
      <c r="G52" s="16">
        <f t="shared" si="18"/>
        <v>0</v>
      </c>
      <c r="H52" s="18">
        <f t="shared" si="19"/>
        <v>0</v>
      </c>
    </row>
    <row r="53" spans="1:8" ht="15.6" x14ac:dyDescent="0.3">
      <c r="A53" s="14" t="s">
        <v>20</v>
      </c>
      <c r="B53" s="15">
        <v>3</v>
      </c>
      <c r="C53" s="15">
        <v>20</v>
      </c>
      <c r="D53" s="16">
        <f t="shared" si="16"/>
        <v>60</v>
      </c>
      <c r="E53" s="17">
        <v>7</v>
      </c>
      <c r="F53" s="37">
        <f t="shared" si="17"/>
        <v>21</v>
      </c>
      <c r="G53" s="16">
        <f t="shared" si="18"/>
        <v>39</v>
      </c>
      <c r="H53" s="18">
        <f t="shared" si="19"/>
        <v>5.5714285714285712</v>
      </c>
    </row>
    <row r="54" spans="1:8" ht="15.6" x14ac:dyDescent="0.3">
      <c r="A54" s="14"/>
      <c r="B54" s="14"/>
      <c r="C54" s="14"/>
      <c r="D54" s="14"/>
      <c r="E54" s="14"/>
      <c r="F54" s="14"/>
      <c r="G54" s="16"/>
      <c r="H54" s="14"/>
    </row>
    <row r="55" spans="1:8" ht="15.6" x14ac:dyDescent="0.3">
      <c r="A55" s="14" t="s">
        <v>27</v>
      </c>
      <c r="B55" s="14"/>
      <c r="C55" s="14"/>
      <c r="D55" s="14"/>
      <c r="E55" s="15"/>
      <c r="F55" s="16">
        <f>SUM(F35:F54)</f>
        <v>573</v>
      </c>
      <c r="G55" s="16">
        <f>SUM(G35:G54)</f>
        <v>537</v>
      </c>
      <c r="H55" s="18">
        <f>G55/F55</f>
        <v>0.93717277486910999</v>
      </c>
    </row>
    <row r="56" spans="1:8" ht="15.6" x14ac:dyDescent="0.3">
      <c r="A56" s="23"/>
      <c r="B56" s="23"/>
      <c r="C56" s="23"/>
      <c r="D56" s="23"/>
      <c r="E56" s="23"/>
      <c r="F56" s="23"/>
      <c r="G56" s="23"/>
      <c r="H56" s="23"/>
    </row>
    <row r="57" spans="1:8" ht="15.6" x14ac:dyDescent="0.3">
      <c r="A57" s="24" t="s">
        <v>33</v>
      </c>
      <c r="B57" s="28">
        <f>F55</f>
        <v>573</v>
      </c>
      <c r="C57" s="23"/>
      <c r="D57" s="23"/>
      <c r="E57" s="23"/>
      <c r="F57" s="23"/>
      <c r="G57" s="23"/>
      <c r="H57" s="23"/>
    </row>
    <row r="58" spans="1:8" ht="15.6" x14ac:dyDescent="0.3">
      <c r="A58" s="25" t="s">
        <v>30</v>
      </c>
      <c r="B58" s="28">
        <f>B57+G55</f>
        <v>1110</v>
      </c>
      <c r="C58" s="23"/>
      <c r="D58" s="23"/>
      <c r="E58" s="23"/>
      <c r="F58" s="23"/>
      <c r="G58" s="23"/>
      <c r="H58" s="23"/>
    </row>
    <row r="59" spans="1:8" ht="15.6" x14ac:dyDescent="0.3">
      <c r="A59" s="26" t="s">
        <v>40</v>
      </c>
      <c r="B59" s="29">
        <f>B58-B57</f>
        <v>537</v>
      </c>
      <c r="C59" s="27"/>
      <c r="D59" s="27"/>
      <c r="E59" s="23"/>
      <c r="F59" s="23"/>
      <c r="G59" s="23"/>
      <c r="H59" s="23"/>
    </row>
  </sheetData>
  <mergeCells count="2">
    <mergeCell ref="A2:H2"/>
    <mergeCell ref="A32:H3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892A-6660-43AD-9821-A3FA562F5BF5}">
  <dimension ref="A1:G3"/>
  <sheetViews>
    <sheetView topLeftCell="B1" workbookViewId="0">
      <selection activeCell="J8" sqref="J8"/>
    </sheetView>
  </sheetViews>
  <sheetFormatPr defaultRowHeight="14.4" x14ac:dyDescent="0.3"/>
  <cols>
    <col min="1" max="1" width="14.109375" customWidth="1"/>
    <col min="2" max="2" width="16.21875" customWidth="1"/>
    <col min="3" max="3" width="15.5546875" customWidth="1"/>
    <col min="4" max="4" width="16.5546875" customWidth="1"/>
    <col min="5" max="5" width="13.6640625" customWidth="1"/>
    <col min="6" max="7" width="13.44140625" customWidth="1"/>
  </cols>
  <sheetData>
    <row r="1" spans="1:7" ht="25.8" x14ac:dyDescent="0.5">
      <c r="A1" s="48" t="s">
        <v>42</v>
      </c>
      <c r="B1" s="49"/>
      <c r="C1" s="49"/>
      <c r="D1" s="49"/>
      <c r="E1" s="49"/>
      <c r="F1" s="49"/>
      <c r="G1" s="50"/>
    </row>
    <row r="2" spans="1:7" ht="18" x14ac:dyDescent="0.35">
      <c r="A2" s="34" t="s">
        <v>35</v>
      </c>
      <c r="B2" s="33">
        <v>46303</v>
      </c>
      <c r="C2" s="33">
        <v>46334</v>
      </c>
      <c r="D2" s="33">
        <v>46364</v>
      </c>
      <c r="E2" s="33" t="s">
        <v>37</v>
      </c>
      <c r="F2" s="36" t="s">
        <v>38</v>
      </c>
      <c r="G2" s="36" t="s">
        <v>39</v>
      </c>
    </row>
    <row r="3" spans="1:7" ht="18" x14ac:dyDescent="0.35">
      <c r="A3" s="35" t="s">
        <v>36</v>
      </c>
      <c r="B3" s="38">
        <v>1304</v>
      </c>
      <c r="C3" s="38">
        <v>1387</v>
      </c>
      <c r="D3" s="44">
        <v>0</v>
      </c>
      <c r="E3" s="38">
        <v>2224</v>
      </c>
      <c r="F3" s="44">
        <v>0</v>
      </c>
      <c r="G3" s="36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1722AE-FE9C-4545-A90C-0A1226613EB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Formula 1</vt:lpstr>
      <vt:lpstr>Formula 2</vt:lpstr>
      <vt:lpstr>Panda Formula</vt:lpstr>
      <vt:lpstr>Sales Monitoring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jacob</dc:creator>
  <cp:lastModifiedBy>alexander jacob</cp:lastModifiedBy>
  <dcterms:created xsi:type="dcterms:W3CDTF">2026-08-02T02:18:55Z</dcterms:created>
  <dcterms:modified xsi:type="dcterms:W3CDTF">2026-08-15T07:06:07Z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{3C1722AE-FE9C-4545-A90C-0A1226613EBB}</vt:lpwstr>
  </property>
</Properties>
</file>